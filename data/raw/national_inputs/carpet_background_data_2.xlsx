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chen48\dev\carpet-pfas\data\raw\national_inputs\"/>
    </mc:Choice>
  </mc:AlternateContent>
  <xr:revisionPtr revIDLastSave="0" documentId="13_ncr:1_{50CB6078-E776-41F7-AB74-CABCE4C1C1D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RE DATA" sheetId="3" r:id="rId1"/>
    <sheet name="FCW DA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" i="4"/>
  <c r="M3" i="4"/>
  <c r="M4" i="4"/>
  <c r="M5" i="4"/>
  <c r="M6" i="4"/>
  <c r="M7" i="4"/>
  <c r="M8" i="4"/>
  <c r="M9" i="4"/>
  <c r="M10" i="4"/>
  <c r="M11" i="4"/>
  <c r="M12" i="4"/>
  <c r="M14" i="4"/>
  <c r="M15" i="4"/>
  <c r="M16" i="4"/>
  <c r="M17" i="4"/>
  <c r="M18" i="4"/>
  <c r="M19" i="4"/>
  <c r="M2" i="4"/>
  <c r="O9" i="3"/>
  <c r="O10" i="3"/>
  <c r="O11" i="3"/>
  <c r="O12" i="3"/>
  <c r="O13" i="3"/>
  <c r="O14" i="3"/>
  <c r="O15" i="3"/>
  <c r="O16" i="3"/>
  <c r="O17" i="3"/>
  <c r="O18" i="3"/>
  <c r="O20" i="3"/>
  <c r="O21" i="3"/>
  <c r="O22" i="3"/>
  <c r="O23" i="3"/>
  <c r="O24" i="3"/>
  <c r="O25" i="3"/>
  <c r="O8" i="3"/>
  <c r="L19" i="4"/>
  <c r="L18" i="4"/>
  <c r="L17" i="4"/>
  <c r="L16" i="4"/>
  <c r="L15" i="4"/>
  <c r="L14" i="4"/>
  <c r="L13" i="4"/>
  <c r="O19" i="3" s="1"/>
  <c r="L12" i="4"/>
  <c r="L11" i="4"/>
  <c r="L10" i="4"/>
  <c r="L9" i="4"/>
  <c r="L8" i="4"/>
  <c r="L7" i="4"/>
  <c r="L6" i="4"/>
  <c r="L5" i="4"/>
  <c r="L4" i="4"/>
  <c r="L3" i="4"/>
  <c r="L2" i="4"/>
  <c r="J7" i="4"/>
  <c r="K16" i="4" l="1"/>
  <c r="K17" i="4"/>
  <c r="K18" i="4"/>
  <c r="K19" i="4"/>
  <c r="O16" i="4"/>
  <c r="O17" i="4"/>
  <c r="O18" i="4"/>
  <c r="O19" i="4"/>
  <c r="N16" i="4"/>
  <c r="N17" i="4"/>
  <c r="N18" i="4"/>
  <c r="N19" i="4"/>
  <c r="P8" i="3"/>
  <c r="P9" i="3"/>
  <c r="P10" i="3"/>
  <c r="P11" i="3"/>
  <c r="P12" i="3"/>
  <c r="P13" i="3"/>
  <c r="P14" i="3"/>
  <c r="P15" i="3"/>
  <c r="P16" i="3"/>
  <c r="P17" i="3"/>
  <c r="P18" i="3"/>
  <c r="P19" i="3"/>
  <c r="M13" i="4" s="1"/>
  <c r="P20" i="3"/>
  <c r="P21" i="3"/>
  <c r="P22" i="3"/>
  <c r="Q22" i="3" s="1"/>
  <c r="P23" i="3"/>
  <c r="Q23" i="3" s="1"/>
  <c r="P24" i="3"/>
  <c r="Q24" i="3" s="1"/>
  <c r="P25" i="3"/>
  <c r="Q25" i="3" s="1"/>
  <c r="K34" i="3" l="1"/>
  <c r="L34" i="3" s="1"/>
  <c r="M34" i="3" s="1"/>
  <c r="C5" i="3"/>
  <c r="C9" i="3"/>
  <c r="C12" i="3" l="1"/>
  <c r="C11" i="3"/>
  <c r="C10" i="3"/>
  <c r="C8" i="3"/>
  <c r="C7" i="3"/>
  <c r="C6" i="3"/>
  <c r="C4" i="3"/>
  <c r="C3" i="3"/>
  <c r="C2" i="3"/>
  <c r="C26" i="3" s="1"/>
  <c r="F12" i="3"/>
  <c r="F11" i="3"/>
  <c r="F10" i="3"/>
  <c r="F9" i="3"/>
  <c r="F8" i="3"/>
  <c r="F7" i="3"/>
  <c r="F6" i="3"/>
  <c r="F5" i="3"/>
  <c r="F4" i="3"/>
  <c r="F3" i="3"/>
  <c r="F2" i="3"/>
  <c r="D17" i="3"/>
  <c r="C17" i="3" s="1"/>
  <c r="D16" i="3"/>
  <c r="C16" i="3" s="1"/>
  <c r="D15" i="3"/>
  <c r="C15" i="3" s="1"/>
  <c r="D14" i="3"/>
  <c r="C14" i="3" s="1"/>
  <c r="D13" i="3"/>
  <c r="C13" i="3" s="1"/>
  <c r="G17" i="3"/>
  <c r="F17" i="3" s="1"/>
  <c r="G16" i="3"/>
  <c r="F16" i="3" s="1"/>
  <c r="G15" i="3"/>
  <c r="F15" i="3" s="1"/>
  <c r="G14" i="3"/>
  <c r="F14" i="3" s="1"/>
  <c r="G13" i="3"/>
  <c r="F13" i="3" s="1"/>
  <c r="G18" i="3"/>
  <c r="F18" i="3" s="1"/>
  <c r="D18" i="3"/>
  <c r="C18" i="3" s="1"/>
  <c r="G19" i="3"/>
  <c r="F19" i="3" s="1"/>
  <c r="D19" i="3"/>
  <c r="C19" i="3" s="1"/>
  <c r="F26" i="3" l="1"/>
  <c r="C27" i="3"/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2" i="4"/>
  <c r="K20" i="4" s="1"/>
  <c r="Q20" i="3"/>
  <c r="Q21" i="3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2" i="4"/>
  <c r="O20" i="4" s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L13" i="3"/>
  <c r="R13" i="3" s="1"/>
  <c r="L14" i="3"/>
  <c r="R14" i="3" s="1"/>
  <c r="L15" i="3"/>
  <c r="R15" i="3" s="1"/>
  <c r="L16" i="3"/>
  <c r="R16" i="3" s="1"/>
  <c r="L17" i="3"/>
  <c r="L18" i="3"/>
  <c r="L19" i="3"/>
  <c r="K2" i="3"/>
  <c r="L2" i="3" s="1"/>
  <c r="M2" i="3" s="1"/>
  <c r="P2" i="3" s="1"/>
  <c r="Q2" i="3" s="1"/>
  <c r="K3" i="3"/>
  <c r="L3" i="3" s="1"/>
  <c r="M3" i="3" s="1"/>
  <c r="P3" i="3" s="1"/>
  <c r="Q3" i="3" s="1"/>
  <c r="K4" i="3"/>
  <c r="L4" i="3" s="1"/>
  <c r="M4" i="3" s="1"/>
  <c r="P4" i="3" s="1"/>
  <c r="Q4" i="3" s="1"/>
  <c r="K5" i="3"/>
  <c r="L5" i="3" s="1"/>
  <c r="M5" i="3" s="1"/>
  <c r="P5" i="3" s="1"/>
  <c r="Q5" i="3" s="1"/>
  <c r="K6" i="3"/>
  <c r="L6" i="3" s="1"/>
  <c r="M6" i="3" s="1"/>
  <c r="P6" i="3" s="1"/>
  <c r="Q6" i="3" s="1"/>
  <c r="K7" i="3"/>
  <c r="L7" i="3" s="1"/>
  <c r="M7" i="3" s="1"/>
  <c r="P7" i="3" s="1"/>
  <c r="Q7" i="3" s="1"/>
  <c r="K8" i="3"/>
  <c r="L8" i="3" s="1"/>
  <c r="R8" i="3" s="1"/>
  <c r="K9" i="3"/>
  <c r="L9" i="3" s="1"/>
  <c r="R9" i="3" s="1"/>
  <c r="K10" i="3"/>
  <c r="L10" i="3" s="1"/>
  <c r="R10" i="3" s="1"/>
  <c r="K11" i="3"/>
  <c r="L11" i="3" s="1"/>
  <c r="R11" i="3" s="1"/>
  <c r="K12" i="3"/>
  <c r="L12" i="3" s="1"/>
  <c r="R12" i="3" s="1"/>
  <c r="O21" i="4" l="1"/>
  <c r="N20" i="4"/>
  <c r="N21" i="4"/>
  <c r="M18" i="3"/>
  <c r="Q18" i="3" s="1"/>
  <c r="R18" i="3"/>
  <c r="M17" i="3"/>
  <c r="Q17" i="3" s="1"/>
  <c r="R17" i="3"/>
  <c r="M19" i="3"/>
  <c r="Q19" i="3" s="1"/>
  <c r="R19" i="3"/>
  <c r="M16" i="3"/>
  <c r="Q16" i="3" s="1"/>
  <c r="M8" i="3"/>
  <c r="Q8" i="3" s="1"/>
  <c r="M15" i="3"/>
  <c r="Q15" i="3" s="1"/>
  <c r="M12" i="3"/>
  <c r="Q12" i="3" s="1"/>
  <c r="M14" i="3"/>
  <c r="Q14" i="3" s="1"/>
  <c r="Q28" i="3" s="1"/>
  <c r="M13" i="3"/>
  <c r="Q13" i="3" s="1"/>
  <c r="M11" i="3"/>
  <c r="Q11" i="3" s="1"/>
  <c r="M10" i="3"/>
  <c r="Q10" i="3" s="1"/>
  <c r="M9" i="3"/>
  <c r="Q9" i="3" s="1"/>
  <c r="R27" i="3" l="1"/>
  <c r="T26" i="3"/>
  <c r="Q27" i="3"/>
  <c r="Q26" i="3"/>
  <c r="S26" i="3"/>
  <c r="S27" i="3"/>
  <c r="T27" i="3"/>
  <c r="R26" i="3"/>
  <c r="T28" i="3"/>
  <c r="S28" i="3"/>
  <c r="R28" i="3"/>
</calcChain>
</file>

<file path=xl/sharedStrings.xml><?xml version="1.0" encoding="utf-8"?>
<sst xmlns="http://schemas.openxmlformats.org/spreadsheetml/2006/main" count="46" uniqueCount="46">
  <si>
    <t>Post consumer carpet discards
(billion pounds)</t>
  </si>
  <si>
    <t>Gross Collections
(million pounds)</t>
  </si>
  <si>
    <t>Sales
(billion square yards)</t>
  </si>
  <si>
    <t>R</t>
  </si>
  <si>
    <t>P</t>
  </si>
  <si>
    <t>D</t>
  </si>
  <si>
    <t>Sales(FCW)
(billion square feet)</t>
  </si>
  <si>
    <t>Import Value
(billion dollar)</t>
  </si>
  <si>
    <t>Import  Volume
(billion square feet)</t>
  </si>
  <si>
    <t>Export Value
(billion dollar)</t>
  </si>
  <si>
    <t>Export Volume
(billion square feet)</t>
  </si>
  <si>
    <t>Sales Value
(billion dollar)</t>
  </si>
  <si>
    <t>Sales Volume
(billion square feet)</t>
  </si>
  <si>
    <t>note: 1. Sales: in manufactures' dollars</t>
  </si>
  <si>
    <t xml:space="preserve">            2. Imports/Exports: includes roll goods, bath mats, area rugs, auto and aircraft carpeting and artificial grass</t>
  </si>
  <si>
    <t xml:space="preserve">            3. Source: U.S. Department of Commerce and Catalina Research</t>
  </si>
  <si>
    <t>correct factors (F2)</t>
  </si>
  <si>
    <t>Import  Volume
(million square meet)</t>
  </si>
  <si>
    <t>Export Volume
(million square meet)</t>
  </si>
  <si>
    <t>Sales Volume
(million square meet)</t>
  </si>
  <si>
    <t>Sales(CARE)
(billion square feet)</t>
  </si>
  <si>
    <r>
      <t>Sales(CARE)
(million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</si>
  <si>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Sales(FCW)
(million 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</si>
  <si>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average sales value of carpet per square meter</t>
  </si>
  <si>
    <r>
      <t>average value
($/ft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</si>
  <si>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Year</t>
  </si>
  <si>
    <t>US_POP
（million）</t>
  </si>
  <si>
    <t>per capita carpet sales
(m2)</t>
  </si>
  <si>
    <t>Sales combinated data of CARE &amp; FCW
(million  m2)</t>
  </si>
  <si>
    <t xml:space="preserve"> import/total sales</t>
  </si>
  <si>
    <t xml:space="preserve"> export/total sales</t>
  </si>
  <si>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Calibri"/>
        <family val="2"/>
        <scheme val="minor"/>
      </rPr>
      <t xml:space="preserve">
total carpet recycling rate</t>
    </r>
  </si>
  <si>
    <t>Incineration Including waste to energy (WTE), and carpet as alternative fuel (CAAF) to burn in cement kilns and other facilities</t>
  </si>
  <si>
    <t>recycled carpet</t>
  </si>
  <si>
    <t>incinerated carpet</t>
  </si>
  <si>
    <t>recycled rate to collected</t>
  </si>
  <si>
    <t>incinerated rate to collected</t>
  </si>
  <si>
    <t>total incinerated rate (ω)</t>
  </si>
  <si>
    <t>pounds (billion)</t>
  </si>
  <si>
    <t>ounce (billion)</t>
  </si>
  <si>
    <t>ounce/yard^2</t>
  </si>
  <si>
    <t>yard^2 to m2</t>
  </si>
  <si>
    <t>yard^2 (billion)</t>
  </si>
  <si>
    <t>m2 (billion)</t>
  </si>
  <si>
    <t>transportation share (%)</t>
  </si>
  <si>
    <t>Sales combination data (FCW &amp; CARE)
(million  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</si>
</sst>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"/>
    <numFmt numFmtId="165" formatCode="0.0000"/>
  </numFmts>
  <fonts count="5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2" fontId="0" fillId="2" borderId="1" xfId="0" applyNumberFormat="1" applyFill="1" applyBorder="1"/>
    <xf numFmtId="2" fontId="0" fillId="2" borderId="0" xfId="0" applyNumberFormat="1" applyFill="1"/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8" fontId="0" fillId="0" borderId="0" xfId="0" applyNumberFormat="1"/>
    <xf numFmtId="0" fontId="0" fillId="2" borderId="3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/>
    <xf numFmtId="0" fontId="0" fillId="0" borderId="2" xfId="0" applyBorder="1" applyAlignment="1">
      <alignment horizontal="center" vertical="center" wrapText="1"/>
    </xf>
    <xf numFmtId="2" fontId="0" fillId="3" borderId="0" xfId="0" applyNumberFormat="1" applyFill="1"/>
    <xf numFmtId="2" fontId="0" fillId="4" borderId="0" xfId="0" applyNumberFormat="1" applyFill="1"/>
    <xf numFmtId="0" fontId="3" fillId="5" borderId="0" xfId="0" applyFont="1" applyFill="1" applyAlignment="1">
      <alignment horizontal="center" vertical="center" wrapText="1"/>
    </xf>
    <xf numFmtId="164" fontId="0" fillId="5" borderId="0" xfId="0" applyNumberFormat="1" applyFill="1"/>
    <xf numFmtId="2" fontId="0" fillId="5" borderId="0" xfId="0" applyNumberFormat="1" applyFill="1"/>
    <xf numFmtId="164" fontId="4" fillId="5" borderId="0" xfId="0" applyNumberFormat="1" applyFont="1" applyFill="1"/>
    <xf numFmtId="2" fontId="4" fillId="5" borderId="0" xfId="0" applyNumberFormat="1" applyFont="1" applyFill="1"/>
    <xf numFmtId="165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60F3-5E46-4CE4-ADDA-C16D2AF86BC9}">
  <dimension ref="A1:AH7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16" sqref="M16"/>
    </sheetView>
  </sheetViews>
  <sheetFormatPr defaultRowHeight="15"/>
  <cols>
    <col min="1" max="1" width="12.5703125" customWidth="1"/>
    <col min="2" max="2" width="12.28515625" customWidth="1"/>
    <col min="3" max="3" width="12.85546875" bestFit="1" customWidth="1"/>
    <col min="4" max="8" width="12.85546875" customWidth="1"/>
    <col min="9" max="9" width="28.140625" bestFit="1" customWidth="1"/>
    <col min="10" max="10" width="16.28515625" bestFit="1" customWidth="1"/>
    <col min="11" max="11" width="20" bestFit="1" customWidth="1"/>
    <col min="12" max="12" width="19" bestFit="1" customWidth="1"/>
    <col min="13" max="13" width="23.5703125" customWidth="1"/>
    <col min="14" max="14" width="19" bestFit="1" customWidth="1"/>
    <col min="15" max="15" width="21.42578125" bestFit="1" customWidth="1"/>
    <col min="16" max="17" width="21.42578125" customWidth="1"/>
    <col min="18" max="18" width="11.42578125" customWidth="1"/>
    <col min="23" max="23" width="34.7109375" customWidth="1"/>
  </cols>
  <sheetData>
    <row r="1" spans="1:23" ht="45">
      <c r="A1" s="1" t="s">
        <v>26</v>
      </c>
      <c r="B1" s="2" t="s">
        <v>25</v>
      </c>
      <c r="C1" s="19" t="s">
        <v>31</v>
      </c>
      <c r="D1" s="19" t="s">
        <v>33</v>
      </c>
      <c r="E1" s="19" t="s">
        <v>35</v>
      </c>
      <c r="F1" s="19" t="s">
        <v>37</v>
      </c>
      <c r="G1" s="19" t="s">
        <v>34</v>
      </c>
      <c r="H1" s="19" t="s">
        <v>36</v>
      </c>
      <c r="I1" s="1" t="s">
        <v>0</v>
      </c>
      <c r="J1" s="1" t="s">
        <v>1</v>
      </c>
      <c r="K1" s="1" t="s">
        <v>2</v>
      </c>
      <c r="L1" s="1" t="s">
        <v>20</v>
      </c>
      <c r="M1" s="10" t="s">
        <v>21</v>
      </c>
      <c r="N1" s="1" t="s">
        <v>6</v>
      </c>
      <c r="O1" s="10" t="s">
        <v>22</v>
      </c>
      <c r="P1" s="10" t="s">
        <v>45</v>
      </c>
      <c r="Q1" s="10" t="s">
        <v>27</v>
      </c>
      <c r="R1" s="1" t="s">
        <v>16</v>
      </c>
      <c r="T1" s="2" t="s">
        <v>3</v>
      </c>
      <c r="U1" s="2" t="s">
        <v>4</v>
      </c>
      <c r="V1" s="2" t="s">
        <v>5</v>
      </c>
      <c r="W1" s="1"/>
    </row>
    <row r="2" spans="1:23">
      <c r="A2">
        <v>287.54563100000001</v>
      </c>
      <c r="B2">
        <v>2002</v>
      </c>
      <c r="C2" s="20">
        <f t="shared" ref="C2:C12" si="0">D2/I2/1000</f>
        <v>1.2474484009979588E-2</v>
      </c>
      <c r="D2" s="21">
        <v>55</v>
      </c>
      <c r="E2" s="21"/>
      <c r="F2" s="24">
        <f t="shared" ref="F2:F12" si="1">G2/I2/1000</f>
        <v>4.3093672034474938E-4</v>
      </c>
      <c r="G2" s="21">
        <v>1.9</v>
      </c>
      <c r="H2" s="21"/>
      <c r="I2" s="4">
        <v>4.4089999999999998</v>
      </c>
      <c r="J2">
        <v>57</v>
      </c>
      <c r="K2" s="3">
        <f t="shared" ref="K2:K12" si="2">(I2-V2)/(T2*U2)</f>
        <v>1.2313725490196079</v>
      </c>
      <c r="L2" s="4">
        <f>K2*9</f>
        <v>11.08235294117647</v>
      </c>
      <c r="M2" s="9">
        <f>L2*0.09290304*1000</f>
        <v>1029.5842785882355</v>
      </c>
      <c r="O2" s="11"/>
      <c r="P2" s="9">
        <f t="shared" ref="P2:P7" si="3">M2</f>
        <v>1029.5842785882355</v>
      </c>
      <c r="Q2" s="9">
        <f t="shared" ref="Q2:Q25" si="4">P2/A2</f>
        <v>3.5805944086426944</v>
      </c>
      <c r="T2">
        <v>0.85</v>
      </c>
      <c r="U2">
        <v>4.2</v>
      </c>
      <c r="V2">
        <v>1.2999999999999999E-2</v>
      </c>
    </row>
    <row r="3" spans="1:23">
      <c r="A3">
        <v>290.19203599999997</v>
      </c>
      <c r="B3">
        <v>2003</v>
      </c>
      <c r="C3" s="20">
        <f t="shared" si="0"/>
        <v>1.9790718835304824E-2</v>
      </c>
      <c r="D3" s="21">
        <v>87</v>
      </c>
      <c r="E3" s="21"/>
      <c r="F3" s="20">
        <f t="shared" si="1"/>
        <v>1.5923566878980893E-3</v>
      </c>
      <c r="G3" s="21">
        <v>7</v>
      </c>
      <c r="H3" s="21"/>
      <c r="I3" s="4">
        <v>4.3959999999999999</v>
      </c>
      <c r="J3">
        <v>94</v>
      </c>
      <c r="K3" s="3">
        <f t="shared" si="2"/>
        <v>1.2277310924369749</v>
      </c>
      <c r="L3" s="4">
        <f t="shared" ref="L3:L19" si="5">K3*9</f>
        <v>11.049579831932775</v>
      </c>
      <c r="M3" s="9">
        <f t="shared" ref="M3:M19" si="6">L3*0.09290304*1000</f>
        <v>1026.539557109244</v>
      </c>
      <c r="O3" s="11"/>
      <c r="P3" s="9">
        <f t="shared" si="3"/>
        <v>1026.539557109244</v>
      </c>
      <c r="Q3" s="9">
        <f t="shared" si="4"/>
        <v>3.5374491018397354</v>
      </c>
      <c r="T3">
        <v>0.85</v>
      </c>
      <c r="U3">
        <v>4.2</v>
      </c>
      <c r="V3">
        <v>1.2999999999999999E-2</v>
      </c>
    </row>
    <row r="4" spans="1:23">
      <c r="A4">
        <v>293.051784</v>
      </c>
      <c r="B4">
        <v>2004</v>
      </c>
      <c r="C4" s="20">
        <f t="shared" si="0"/>
        <v>2.1360069747166519E-2</v>
      </c>
      <c r="D4" s="21">
        <v>98</v>
      </c>
      <c r="E4" s="21"/>
      <c r="F4" s="20">
        <f t="shared" si="1"/>
        <v>2.179598953792502E-3</v>
      </c>
      <c r="G4" s="21">
        <v>10</v>
      </c>
      <c r="H4" s="21"/>
      <c r="I4" s="4">
        <v>4.5880000000000001</v>
      </c>
      <c r="J4">
        <v>106</v>
      </c>
      <c r="K4" s="3">
        <f t="shared" si="2"/>
        <v>1.2815126050420169</v>
      </c>
      <c r="L4" s="4">
        <f t="shared" si="5"/>
        <v>11.533613445378153</v>
      </c>
      <c r="M4" s="9">
        <f t="shared" si="6"/>
        <v>1071.5077512605044</v>
      </c>
      <c r="O4" s="11"/>
      <c r="P4" s="9">
        <f t="shared" si="3"/>
        <v>1071.5077512605044</v>
      </c>
      <c r="Q4" s="9">
        <f t="shared" si="4"/>
        <v>3.6563768240377081</v>
      </c>
      <c r="T4">
        <v>0.85</v>
      </c>
      <c r="U4">
        <v>4.2</v>
      </c>
      <c r="V4">
        <v>1.2999999999999999E-2</v>
      </c>
    </row>
    <row r="5" spans="1:23">
      <c r="A5">
        <v>295.80489899999998</v>
      </c>
      <c r="B5">
        <v>2005</v>
      </c>
      <c r="C5" s="20">
        <f>D5/I5/1000</f>
        <v>3.9471007121057985E-2</v>
      </c>
      <c r="D5" s="21">
        <v>194</v>
      </c>
      <c r="E5" s="21"/>
      <c r="F5" s="20">
        <f t="shared" si="1"/>
        <v>6.1037639877924718E-3</v>
      </c>
      <c r="G5" s="21">
        <v>30</v>
      </c>
      <c r="H5" s="21"/>
      <c r="I5" s="4">
        <v>4.915</v>
      </c>
      <c r="J5">
        <v>225</v>
      </c>
      <c r="K5" s="3">
        <f t="shared" si="2"/>
        <v>1.373109243697479</v>
      </c>
      <c r="L5" s="4">
        <f t="shared" si="5"/>
        <v>12.357983193277311</v>
      </c>
      <c r="M5" s="9">
        <f t="shared" si="6"/>
        <v>1148.0942069243697</v>
      </c>
      <c r="O5" s="11"/>
      <c r="P5" s="9">
        <f t="shared" si="3"/>
        <v>1148.0942069243697</v>
      </c>
      <c r="Q5" s="9">
        <f t="shared" si="4"/>
        <v>3.881254877135655</v>
      </c>
      <c r="T5">
        <v>0.85</v>
      </c>
      <c r="U5">
        <v>4.2</v>
      </c>
      <c r="V5">
        <v>1.2999999999999999E-2</v>
      </c>
    </row>
    <row r="6" spans="1:23">
      <c r="A6">
        <v>298.74114300000002</v>
      </c>
      <c r="B6">
        <v>2006</v>
      </c>
      <c r="C6" s="20">
        <f t="shared" si="0"/>
        <v>5.0992105824621291E-2</v>
      </c>
      <c r="D6" s="21">
        <v>239</v>
      </c>
      <c r="E6" s="21"/>
      <c r="F6" s="20">
        <f t="shared" si="1"/>
        <v>4.4804779176445481E-3</v>
      </c>
      <c r="G6" s="21">
        <v>21</v>
      </c>
      <c r="H6" s="21"/>
      <c r="I6" s="4">
        <v>4.6870000000000003</v>
      </c>
      <c r="J6">
        <v>261</v>
      </c>
      <c r="K6" s="3">
        <f t="shared" si="2"/>
        <v>1.3092436974789918</v>
      </c>
      <c r="L6" s="4">
        <f t="shared" si="5"/>
        <v>11.783193277310927</v>
      </c>
      <c r="M6" s="9">
        <f t="shared" si="6"/>
        <v>1094.6944763697481</v>
      </c>
      <c r="O6" s="11"/>
      <c r="P6" s="9">
        <f t="shared" si="3"/>
        <v>1094.6944763697481</v>
      </c>
      <c r="Q6" s="9">
        <f t="shared" si="4"/>
        <v>3.664357930001453</v>
      </c>
      <c r="T6">
        <v>0.85</v>
      </c>
      <c r="U6">
        <v>4.2</v>
      </c>
      <c r="V6">
        <v>1.2999999999999999E-2</v>
      </c>
    </row>
    <row r="7" spans="1:23">
      <c r="A7">
        <v>301.73125700000003</v>
      </c>
      <c r="B7">
        <v>2007</v>
      </c>
      <c r="C7" s="20">
        <f t="shared" si="0"/>
        <v>3.8377192982456142E-2</v>
      </c>
      <c r="D7" s="21">
        <v>175</v>
      </c>
      <c r="E7" s="21"/>
      <c r="F7" s="20">
        <f t="shared" si="1"/>
        <v>4.6052631578947373E-3</v>
      </c>
      <c r="G7" s="21">
        <v>21</v>
      </c>
      <c r="H7" s="21"/>
      <c r="I7" s="4">
        <v>4.5599999999999996</v>
      </c>
      <c r="J7">
        <v>296</v>
      </c>
      <c r="K7" s="3">
        <f t="shared" si="2"/>
        <v>1.2736694677871148</v>
      </c>
      <c r="L7" s="4">
        <f t="shared" si="5"/>
        <v>11.463025210084034</v>
      </c>
      <c r="M7" s="9">
        <f t="shared" si="6"/>
        <v>1064.9498896134455</v>
      </c>
      <c r="O7" s="11"/>
      <c r="P7" s="9">
        <f t="shared" si="3"/>
        <v>1064.9498896134455</v>
      </c>
      <c r="Q7" s="9">
        <f t="shared" si="4"/>
        <v>3.5294649291619309</v>
      </c>
      <c r="T7">
        <v>0.85</v>
      </c>
      <c r="U7">
        <v>4.2</v>
      </c>
      <c r="V7">
        <v>1.2999999999999999E-2</v>
      </c>
    </row>
    <row r="8" spans="1:23">
      <c r="A8">
        <v>304.53628200000003</v>
      </c>
      <c r="B8">
        <v>2008</v>
      </c>
      <c r="C8" s="20">
        <f t="shared" si="0"/>
        <v>5.842005676442763E-2</v>
      </c>
      <c r="D8" s="21">
        <v>247</v>
      </c>
      <c r="E8" s="21"/>
      <c r="F8" s="20">
        <f t="shared" si="1"/>
        <v>1.0170293282876065E-2</v>
      </c>
      <c r="G8" s="21">
        <v>43</v>
      </c>
      <c r="H8" s="21"/>
      <c r="I8" s="4">
        <v>4.2279999999999998</v>
      </c>
      <c r="J8">
        <v>292</v>
      </c>
      <c r="K8" s="3">
        <f t="shared" si="2"/>
        <v>1.180672268907563</v>
      </c>
      <c r="L8" s="4">
        <f t="shared" si="5"/>
        <v>10.626050420168067</v>
      </c>
      <c r="M8" s="9">
        <f t="shared" si="6"/>
        <v>987.19238722689079</v>
      </c>
      <c r="N8">
        <v>12.81</v>
      </c>
      <c r="O8" s="9">
        <f>'FCW DATA'!L2</f>
        <v>1100.8313467200003</v>
      </c>
      <c r="P8" s="9">
        <f>(M8+O8)/2</f>
        <v>1044.0118669734456</v>
      </c>
      <c r="Q8" s="9">
        <f t="shared" si="4"/>
        <v>3.4282019210224859</v>
      </c>
      <c r="R8" s="4">
        <f>L8/N8</f>
        <v>0.82951213272194113</v>
      </c>
      <c r="T8">
        <v>0.85</v>
      </c>
      <c r="U8">
        <v>4.2</v>
      </c>
      <c r="V8">
        <v>1.2999999999999999E-2</v>
      </c>
    </row>
    <row r="9" spans="1:23">
      <c r="A9">
        <v>306.81750199999999</v>
      </c>
      <c r="B9">
        <v>2009</v>
      </c>
      <c r="C9" s="20">
        <f>D9/I9/1000</f>
        <v>6.9448183041722747E-2</v>
      </c>
      <c r="D9" s="21">
        <v>258</v>
      </c>
      <c r="E9" s="21"/>
      <c r="F9" s="20">
        <f t="shared" si="1"/>
        <v>1.5881561238223419E-2</v>
      </c>
      <c r="G9" s="21">
        <v>59</v>
      </c>
      <c r="H9" s="21"/>
      <c r="I9" s="4">
        <v>3.7149999999999999</v>
      </c>
      <c r="J9">
        <v>311</v>
      </c>
      <c r="K9" s="3">
        <f t="shared" si="2"/>
        <v>1.0369747899159665</v>
      </c>
      <c r="L9" s="4">
        <f t="shared" si="5"/>
        <v>9.3327731092436981</v>
      </c>
      <c r="M9" s="9">
        <f t="shared" si="6"/>
        <v>867.04299347899178</v>
      </c>
      <c r="N9">
        <v>10.6</v>
      </c>
      <c r="O9" s="9">
        <f>'FCW DATA'!L3</f>
        <v>910.91430720000005</v>
      </c>
      <c r="P9" s="9">
        <f t="shared" ref="P9:P19" si="7">(M9+O9)/2</f>
        <v>888.97865033949597</v>
      </c>
      <c r="Q9" s="9">
        <f t="shared" si="4"/>
        <v>2.8974183172232983</v>
      </c>
      <c r="R9" s="4">
        <f t="shared" ref="R9:R19" si="8">L9/N9</f>
        <v>0.88045029332487723</v>
      </c>
      <c r="T9">
        <v>0.85</v>
      </c>
      <c r="U9">
        <v>4.2</v>
      </c>
      <c r="V9">
        <v>1.2999999999999999E-2</v>
      </c>
    </row>
    <row r="10" spans="1:23">
      <c r="A10">
        <v>309.320851</v>
      </c>
      <c r="B10">
        <v>2010</v>
      </c>
      <c r="C10" s="20">
        <f t="shared" si="0"/>
        <v>8.0936851467536319E-2</v>
      </c>
      <c r="D10" s="21">
        <v>273</v>
      </c>
      <c r="E10" s="21"/>
      <c r="F10" s="20">
        <f t="shared" si="1"/>
        <v>1.8974206937444411E-2</v>
      </c>
      <c r="G10" s="21">
        <v>64</v>
      </c>
      <c r="H10" s="21"/>
      <c r="I10" s="4">
        <v>3.3730000000000002</v>
      </c>
      <c r="J10">
        <v>337</v>
      </c>
      <c r="K10" s="3">
        <f t="shared" si="2"/>
        <v>0.94117647058823539</v>
      </c>
      <c r="L10" s="4">
        <f t="shared" si="5"/>
        <v>8.4705882352941178</v>
      </c>
      <c r="M10" s="9">
        <f t="shared" si="6"/>
        <v>786.94339764705887</v>
      </c>
      <c r="N10">
        <v>10.69</v>
      </c>
      <c r="O10" s="9">
        <f>'FCW DATA'!L4</f>
        <v>918.64848528000005</v>
      </c>
      <c r="P10" s="9">
        <f t="shared" si="7"/>
        <v>852.79594146352952</v>
      </c>
      <c r="Q10" s="9">
        <f t="shared" si="4"/>
        <v>2.7569946827268024</v>
      </c>
      <c r="R10" s="4">
        <f t="shared" si="8"/>
        <v>0.79238430638859847</v>
      </c>
      <c r="T10">
        <v>0.85</v>
      </c>
      <c r="U10">
        <v>4.2</v>
      </c>
      <c r="V10">
        <v>1.2999999999999999E-2</v>
      </c>
    </row>
    <row r="11" spans="1:23">
      <c r="A11">
        <v>311.59112399999998</v>
      </c>
      <c r="B11">
        <v>2011</v>
      </c>
      <c r="C11" s="20">
        <f t="shared" si="0"/>
        <v>6.5775681341719072E-2</v>
      </c>
      <c r="D11" s="21">
        <v>251</v>
      </c>
      <c r="E11" s="21"/>
      <c r="F11" s="20">
        <f t="shared" si="1"/>
        <v>2.1488469601677149E-2</v>
      </c>
      <c r="G11" s="21">
        <v>82</v>
      </c>
      <c r="H11" s="21"/>
      <c r="I11" s="4">
        <v>3.8159999999999998</v>
      </c>
      <c r="J11">
        <v>333</v>
      </c>
      <c r="K11" s="3">
        <f t="shared" si="2"/>
        <v>1.065266106442577</v>
      </c>
      <c r="L11" s="4">
        <f t="shared" si="5"/>
        <v>9.587394957983193</v>
      </c>
      <c r="M11" s="9">
        <f t="shared" si="6"/>
        <v>890.69813727731093</v>
      </c>
      <c r="N11">
        <v>10.220000000000001</v>
      </c>
      <c r="O11" s="9">
        <f>'FCW DATA'!L5</f>
        <v>878.25888864000024</v>
      </c>
      <c r="P11" s="9">
        <f t="shared" si="7"/>
        <v>884.47851295865553</v>
      </c>
      <c r="Q11" s="9">
        <f t="shared" si="4"/>
        <v>2.8385869969731732</v>
      </c>
      <c r="R11" s="4">
        <f t="shared" si="8"/>
        <v>0.93810126790442194</v>
      </c>
      <c r="T11">
        <v>0.85</v>
      </c>
      <c r="U11">
        <v>4.2</v>
      </c>
      <c r="V11">
        <v>1.2999999999999999E-2</v>
      </c>
    </row>
    <row r="12" spans="1:23">
      <c r="A12">
        <v>313.89171299999998</v>
      </c>
      <c r="B12">
        <v>2012</v>
      </c>
      <c r="C12" s="20">
        <f t="shared" si="0"/>
        <v>8.4463276836158188E-2</v>
      </c>
      <c r="D12" s="21">
        <v>299</v>
      </c>
      <c r="E12" s="21"/>
      <c r="F12" s="20">
        <f t="shared" si="1"/>
        <v>1.4971751412429379E-2</v>
      </c>
      <c r="G12" s="21">
        <v>53</v>
      </c>
      <c r="H12" s="21"/>
      <c r="I12" s="4">
        <v>3.54</v>
      </c>
      <c r="J12">
        <v>351</v>
      </c>
      <c r="K12" s="3">
        <f t="shared" si="2"/>
        <v>0.98795518207282917</v>
      </c>
      <c r="L12" s="4">
        <f t="shared" si="5"/>
        <v>8.8915966386554626</v>
      </c>
      <c r="M12" s="9">
        <f t="shared" si="6"/>
        <v>826.05635818487394</v>
      </c>
      <c r="N12">
        <v>10.46</v>
      </c>
      <c r="O12" s="9">
        <f>'FCW DATA'!L6</f>
        <v>898.8833635200001</v>
      </c>
      <c r="P12" s="9">
        <f t="shared" si="7"/>
        <v>862.46986085243702</v>
      </c>
      <c r="Q12" s="9">
        <f t="shared" si="4"/>
        <v>2.7476668708754253</v>
      </c>
      <c r="R12" s="4">
        <f t="shared" si="8"/>
        <v>0.85005704002442273</v>
      </c>
      <c r="T12">
        <v>0.85</v>
      </c>
      <c r="U12">
        <v>4.2</v>
      </c>
      <c r="V12">
        <v>1.2999999999999999E-2</v>
      </c>
    </row>
    <row r="13" spans="1:23">
      <c r="A13">
        <v>316.07915300000002</v>
      </c>
      <c r="B13">
        <v>2013</v>
      </c>
      <c r="C13" s="22">
        <f t="shared" ref="C13:C19" si="9">D13/I13/1000</f>
        <v>5.3399999999999989E-2</v>
      </c>
      <c r="D13" s="23">
        <f t="shared" ref="D13:D19" si="10">E13*J13</f>
        <v>197.57999999999998</v>
      </c>
      <c r="E13" s="23">
        <v>0.37</v>
      </c>
      <c r="F13" s="22">
        <f t="shared" ref="F13:F19" si="11">G13/I13/1000</f>
        <v>2.1648648648648645E-2</v>
      </c>
      <c r="G13" s="23">
        <f t="shared" ref="G13:G19" si="12">J13*H13</f>
        <v>80.099999999999994</v>
      </c>
      <c r="H13" s="23">
        <v>0.15</v>
      </c>
      <c r="I13" s="4">
        <v>3.7</v>
      </c>
      <c r="J13">
        <v>534</v>
      </c>
      <c r="K13">
        <v>1.012</v>
      </c>
      <c r="L13" s="4">
        <f t="shared" si="5"/>
        <v>9.1080000000000005</v>
      </c>
      <c r="M13" s="9">
        <f t="shared" si="6"/>
        <v>846.16088832000014</v>
      </c>
      <c r="N13">
        <v>10.86</v>
      </c>
      <c r="O13" s="9">
        <f>'FCW DATA'!L7</f>
        <v>909.54770348159991</v>
      </c>
      <c r="P13" s="9">
        <f t="shared" si="7"/>
        <v>877.85429590080003</v>
      </c>
      <c r="Q13" s="9">
        <f t="shared" si="4"/>
        <v>2.7773242479575995</v>
      </c>
      <c r="R13" s="4">
        <f t="shared" si="8"/>
        <v>0.83867403314917133</v>
      </c>
    </row>
    <row r="14" spans="1:23">
      <c r="A14">
        <v>318.41001599999998</v>
      </c>
      <c r="B14">
        <v>2014</v>
      </c>
      <c r="C14" s="20">
        <f t="shared" si="9"/>
        <v>3.3164039696438996E-2</v>
      </c>
      <c r="D14" s="21">
        <f t="shared" si="10"/>
        <v>113.62</v>
      </c>
      <c r="E14" s="21">
        <v>0.23</v>
      </c>
      <c r="F14" s="20">
        <f t="shared" si="11"/>
        <v>4.4699357851722119E-2</v>
      </c>
      <c r="G14" s="21">
        <f t="shared" si="12"/>
        <v>153.13999999999999</v>
      </c>
      <c r="H14" s="21">
        <v>0.31</v>
      </c>
      <c r="I14" s="4">
        <v>3.4260000000000002</v>
      </c>
      <c r="J14">
        <v>494</v>
      </c>
      <c r="K14">
        <v>0.98199999999999998</v>
      </c>
      <c r="L14" s="4">
        <f t="shared" si="5"/>
        <v>8.8379999999999992</v>
      </c>
      <c r="M14" s="9">
        <f t="shared" si="6"/>
        <v>821.07706752000001</v>
      </c>
      <c r="N14">
        <v>11.36</v>
      </c>
      <c r="O14" s="9">
        <f>'FCW DATA'!L8</f>
        <v>926.62235320320008</v>
      </c>
      <c r="P14" s="9">
        <f t="shared" si="7"/>
        <v>873.84971036160005</v>
      </c>
      <c r="Q14" s="9">
        <f t="shared" si="4"/>
        <v>2.7444165272790917</v>
      </c>
      <c r="R14" s="4">
        <f t="shared" si="8"/>
        <v>0.77799295774647881</v>
      </c>
    </row>
    <row r="15" spans="1:23">
      <c r="A15">
        <v>320.766593</v>
      </c>
      <c r="B15">
        <v>2015</v>
      </c>
      <c r="C15" s="20">
        <f t="shared" si="9"/>
        <v>3.4899328859060406E-2</v>
      </c>
      <c r="D15" s="21">
        <f t="shared" si="10"/>
        <v>119.60000000000001</v>
      </c>
      <c r="E15" s="21">
        <v>0.23</v>
      </c>
      <c r="F15" s="20">
        <f t="shared" si="11"/>
        <v>5.4625036475051063E-2</v>
      </c>
      <c r="G15" s="21">
        <f t="shared" si="12"/>
        <v>187.2</v>
      </c>
      <c r="H15" s="21">
        <v>0.36</v>
      </c>
      <c r="I15" s="4">
        <v>3.427</v>
      </c>
      <c r="J15">
        <v>520</v>
      </c>
      <c r="K15">
        <v>1.01</v>
      </c>
      <c r="L15" s="4">
        <f t="shared" si="5"/>
        <v>9.09</v>
      </c>
      <c r="M15" s="9">
        <f t="shared" si="6"/>
        <v>844.48863360000007</v>
      </c>
      <c r="N15">
        <v>11.29</v>
      </c>
      <c r="O15" s="9">
        <f>'FCW DATA'!L9</f>
        <v>915.66815575680005</v>
      </c>
      <c r="P15" s="9">
        <f t="shared" si="7"/>
        <v>880.07839467840006</v>
      </c>
      <c r="Q15" s="9">
        <f t="shared" si="4"/>
        <v>2.7436722335932284</v>
      </c>
      <c r="R15" s="4">
        <f t="shared" si="8"/>
        <v>0.80513728963684683</v>
      </c>
    </row>
    <row r="16" spans="1:23">
      <c r="A16">
        <v>323.10315300000002</v>
      </c>
      <c r="B16">
        <v>2016</v>
      </c>
      <c r="C16" s="20">
        <f t="shared" si="9"/>
        <v>4.2875399361022373E-2</v>
      </c>
      <c r="D16" s="21">
        <f t="shared" si="10"/>
        <v>161.04000000000002</v>
      </c>
      <c r="E16" s="21">
        <v>0.33</v>
      </c>
      <c r="F16" s="20">
        <f t="shared" si="11"/>
        <v>3.767838125665602E-2</v>
      </c>
      <c r="G16" s="21">
        <f t="shared" si="12"/>
        <v>141.51999999999998</v>
      </c>
      <c r="H16" s="21">
        <v>0.28999999999999998</v>
      </c>
      <c r="I16" s="4">
        <v>3.7559999999999998</v>
      </c>
      <c r="J16">
        <v>488</v>
      </c>
      <c r="K16">
        <v>1</v>
      </c>
      <c r="L16" s="4">
        <f t="shared" si="5"/>
        <v>9</v>
      </c>
      <c r="M16" s="9">
        <f t="shared" si="6"/>
        <v>836.12736000000007</v>
      </c>
      <c r="N16">
        <v>11.44</v>
      </c>
      <c r="O16" s="9">
        <f>'FCW DATA'!L10</f>
        <v>928.89661962239995</v>
      </c>
      <c r="P16" s="9">
        <f t="shared" si="7"/>
        <v>882.51198981120001</v>
      </c>
      <c r="Q16" s="9">
        <f t="shared" si="4"/>
        <v>2.7313629768608294</v>
      </c>
      <c r="R16" s="4">
        <f t="shared" si="8"/>
        <v>0.78671328671328677</v>
      </c>
    </row>
    <row r="17" spans="1:20">
      <c r="A17">
        <v>325.15755000000001</v>
      </c>
      <c r="B17">
        <v>2017</v>
      </c>
      <c r="C17" s="20">
        <f t="shared" si="9"/>
        <v>5.3764461584099678E-2</v>
      </c>
      <c r="D17" s="21">
        <f t="shared" si="10"/>
        <v>181.24</v>
      </c>
      <c r="E17" s="21">
        <v>0.46</v>
      </c>
      <c r="F17" s="20">
        <f t="shared" si="11"/>
        <v>2.805102343518244E-2</v>
      </c>
      <c r="G17" s="21">
        <f t="shared" si="12"/>
        <v>94.56</v>
      </c>
      <c r="H17" s="21">
        <v>0.24</v>
      </c>
      <c r="I17" s="4">
        <v>3.371</v>
      </c>
      <c r="J17">
        <v>394</v>
      </c>
      <c r="K17">
        <v>0.98199999999999998</v>
      </c>
      <c r="L17" s="4">
        <f t="shared" si="5"/>
        <v>8.8379999999999992</v>
      </c>
      <c r="M17" s="9">
        <f t="shared" si="6"/>
        <v>821.07706752000001</v>
      </c>
      <c r="N17">
        <v>12.44</v>
      </c>
      <c r="O17" s="9">
        <f>'FCW DATA'!L11</f>
        <v>1012.4053042176</v>
      </c>
      <c r="P17" s="9">
        <f t="shared" si="7"/>
        <v>916.74118586880002</v>
      </c>
      <c r="Q17" s="9">
        <f t="shared" si="4"/>
        <v>2.8193753639391117</v>
      </c>
      <c r="R17" s="4">
        <f t="shared" si="8"/>
        <v>0.7104501607717042</v>
      </c>
    </row>
    <row r="18" spans="1:20">
      <c r="A18">
        <v>326.87662399999999</v>
      </c>
      <c r="B18">
        <v>2018</v>
      </c>
      <c r="C18" s="20">
        <f t="shared" si="9"/>
        <v>4.5562831306516997E-2</v>
      </c>
      <c r="D18" s="21">
        <f t="shared" si="10"/>
        <v>146.12</v>
      </c>
      <c r="E18" s="21">
        <v>0.52</v>
      </c>
      <c r="F18" s="20">
        <f t="shared" si="11"/>
        <v>1.0514499532273153E-2</v>
      </c>
      <c r="G18" s="21">
        <f t="shared" si="12"/>
        <v>33.72</v>
      </c>
      <c r="H18" s="21">
        <v>0.12</v>
      </c>
      <c r="I18" s="4">
        <v>3.2069999999999999</v>
      </c>
      <c r="J18">
        <v>281</v>
      </c>
      <c r="K18">
        <v>0.95</v>
      </c>
      <c r="L18" s="4">
        <f t="shared" si="5"/>
        <v>8.5499999999999989</v>
      </c>
      <c r="M18" s="9">
        <f t="shared" si="6"/>
        <v>794.32099199999993</v>
      </c>
      <c r="N18">
        <v>12.061</v>
      </c>
      <c r="O18" s="9">
        <f>'FCW DATA'!L12</f>
        <v>983.8021304563199</v>
      </c>
      <c r="P18" s="9">
        <f t="shared" si="7"/>
        <v>889.06156122815992</v>
      </c>
      <c r="Q18" s="9">
        <f t="shared" si="4"/>
        <v>2.7198688922709868</v>
      </c>
      <c r="R18" s="4">
        <f t="shared" si="8"/>
        <v>0.70889644308100486</v>
      </c>
    </row>
    <row r="19" spans="1:20">
      <c r="A19">
        <v>328.371824</v>
      </c>
      <c r="B19">
        <v>2019</v>
      </c>
      <c r="C19" s="20">
        <f t="shared" si="9"/>
        <v>4.6048109965635749E-2</v>
      </c>
      <c r="D19" s="21">
        <f t="shared" si="10"/>
        <v>187.60000000000002</v>
      </c>
      <c r="E19" s="21">
        <v>0.56000000000000005</v>
      </c>
      <c r="F19" s="20">
        <f t="shared" si="11"/>
        <v>3.2891507118311247E-3</v>
      </c>
      <c r="G19" s="21">
        <f t="shared" si="12"/>
        <v>13.4</v>
      </c>
      <c r="H19" s="21">
        <v>0.04</v>
      </c>
      <c r="I19" s="4">
        <v>4.0739999999999998</v>
      </c>
      <c r="J19">
        <v>335</v>
      </c>
      <c r="K19">
        <v>0.89300000000000002</v>
      </c>
      <c r="L19" s="4">
        <f t="shared" si="5"/>
        <v>8.0370000000000008</v>
      </c>
      <c r="M19" s="9">
        <f t="shared" si="6"/>
        <v>746.66173248000007</v>
      </c>
      <c r="N19">
        <v>11.151999999999999</v>
      </c>
      <c r="O19" s="9">
        <f>'FCW DATA'!L13</f>
        <v>903.43970021375992</v>
      </c>
      <c r="P19" s="9">
        <f t="shared" si="7"/>
        <v>825.05071634687999</v>
      </c>
      <c r="Q19" s="9">
        <f t="shared" si="4"/>
        <v>2.5125502739445755</v>
      </c>
      <c r="R19" s="4">
        <f t="shared" si="8"/>
        <v>0.72067790530846498</v>
      </c>
    </row>
    <row r="20" spans="1:20">
      <c r="A20">
        <v>331.578103</v>
      </c>
      <c r="B20">
        <v>2020</v>
      </c>
      <c r="N20">
        <v>11.423999999999999</v>
      </c>
      <c r="O20" s="9">
        <f>'FCW DATA'!L14</f>
        <v>932.90408515583999</v>
      </c>
      <c r="P20" s="9">
        <f>O20</f>
        <v>932.90408515583999</v>
      </c>
      <c r="Q20" s="9">
        <f t="shared" si="4"/>
        <v>2.8135274214891086</v>
      </c>
    </row>
    <row r="21" spans="1:20">
      <c r="A21">
        <v>332.100167</v>
      </c>
      <c r="B21">
        <v>2021</v>
      </c>
      <c r="N21">
        <v>13.244999999999999</v>
      </c>
      <c r="O21" s="9">
        <f>'FCW DATA'!L15</f>
        <v>1090.2236776128</v>
      </c>
      <c r="P21" s="9">
        <f>O21</f>
        <v>1090.2236776128</v>
      </c>
      <c r="Q21" s="9">
        <f t="shared" si="4"/>
        <v>3.2828158066322199</v>
      </c>
    </row>
    <row r="22" spans="1:20">
      <c r="A22">
        <v>333.99630400000001</v>
      </c>
      <c r="B22">
        <v>2022</v>
      </c>
      <c r="N22">
        <v>11.869</v>
      </c>
      <c r="O22" s="9">
        <f>'FCW DATA'!L16</f>
        <v>985.78356649344016</v>
      </c>
      <c r="P22" s="9">
        <f t="shared" ref="P22:P25" si="13">O22</f>
        <v>985.78356649344016</v>
      </c>
      <c r="Q22" s="9">
        <f t="shared" si="4"/>
        <v>2.9514804645665782</v>
      </c>
    </row>
    <row r="23" spans="1:20">
      <c r="A23">
        <v>336.75505199999998</v>
      </c>
      <c r="B23">
        <v>2023</v>
      </c>
      <c r="N23">
        <v>11.077999999999999</v>
      </c>
      <c r="O23" s="9">
        <f>'FCW DATA'!L17</f>
        <v>898.47403272576014</v>
      </c>
      <c r="P23" s="9">
        <f t="shared" si="13"/>
        <v>898.47403272576014</v>
      </c>
      <c r="Q23" s="9">
        <f t="shared" si="4"/>
        <v>2.6680343097740971</v>
      </c>
    </row>
    <row r="24" spans="1:20">
      <c r="A24">
        <v>340.00379700000002</v>
      </c>
      <c r="B24">
        <v>2024</v>
      </c>
      <c r="N24">
        <v>10.881</v>
      </c>
      <c r="O24" s="9">
        <f>'FCW DATA'!L18</f>
        <v>885.52910893824014</v>
      </c>
      <c r="P24" s="9">
        <f t="shared" si="13"/>
        <v>885.52910893824014</v>
      </c>
      <c r="Q24" s="9">
        <f t="shared" si="4"/>
        <v>2.6044682934474408</v>
      </c>
    </row>
    <row r="25" spans="1:20">
      <c r="A25">
        <v>341.78485599999999</v>
      </c>
      <c r="B25">
        <v>2025</v>
      </c>
      <c r="N25">
        <v>10.637</v>
      </c>
      <c r="O25" s="9">
        <f>'FCW DATA'!L19</f>
        <v>856.77775482816014</v>
      </c>
      <c r="P25" s="9">
        <f t="shared" si="13"/>
        <v>856.77775482816014</v>
      </c>
      <c r="Q25" s="9">
        <f t="shared" si="4"/>
        <v>2.5067750656224517</v>
      </c>
    </row>
    <row r="26" spans="1:20">
      <c r="C26" s="4">
        <f>AVERAGE(C2:C10)</f>
        <v>4.3474518866030341E-2</v>
      </c>
      <c r="D26" s="4"/>
      <c r="E26" s="4"/>
      <c r="F26" s="4">
        <f>AVERAGE(F2:F19)</f>
        <v>1.6743598767187895E-2</v>
      </c>
      <c r="G26" s="4"/>
      <c r="H26" s="4"/>
      <c r="Q26" s="4">
        <f>AVERAGE(Q2:Q25)</f>
        <v>3.01641828070907</v>
      </c>
      <c r="R26" s="4">
        <f>MEDIAN(Q2:Q21)</f>
        <v>2.8289811804561422</v>
      </c>
      <c r="S26">
        <f>PERCENTILE(Q2:Q25, 0.75)</f>
        <v>3.4535176730573474</v>
      </c>
      <c r="T26">
        <f>PERCENTILE(Q2:Q25, 0.25)</f>
        <v>2.7405949194101287</v>
      </c>
    </row>
    <row r="27" spans="1:20">
      <c r="C27" s="3">
        <f>AVERAGE(C11:C19)</f>
        <v>5.1105903216739051E-2</v>
      </c>
      <c r="Q27" s="4">
        <f>AVERAGE(Q2:Q13)</f>
        <v>3.2746409256331632</v>
      </c>
      <c r="R27" s="4">
        <f>MEDIAN(Q2:Q11)</f>
        <v>3.5334570155008329</v>
      </c>
      <c r="S27">
        <f>PERCENTILE(Q2:Q11,0.75)</f>
        <v>3.6374312201889545</v>
      </c>
      <c r="T27">
        <f>PERCENTILE(Q2:Q11,0.25)</f>
        <v>3.0301142181730953</v>
      </c>
    </row>
    <row r="28" spans="1:20">
      <c r="F28" t="s">
        <v>32</v>
      </c>
      <c r="Q28" s="4">
        <f>AVERAGE(Q14:Q25)</f>
        <v>2.7581956357849768</v>
      </c>
      <c r="R28" s="4">
        <f>MEDIAN(Q12:Q21)</f>
        <v>2.7460416990772583</v>
      </c>
      <c r="S28">
        <f>PERCENTILE(Q12:Q21, 0.75)</f>
        <v>2.8044766281062312</v>
      </c>
      <c r="T28">
        <f>PERCENTILE(Q12:Q21, 0.25)</f>
        <v>2.7344402910439292</v>
      </c>
    </row>
    <row r="32" spans="1:20">
      <c r="J32">
        <v>60</v>
      </c>
      <c r="K32" t="s">
        <v>40</v>
      </c>
      <c r="L32">
        <v>0.83612735999999999</v>
      </c>
      <c r="M32" t="s">
        <v>41</v>
      </c>
    </row>
    <row r="33" spans="10:13">
      <c r="J33" t="s">
        <v>38</v>
      </c>
      <c r="K33" t="s">
        <v>39</v>
      </c>
      <c r="L33" t="s">
        <v>42</v>
      </c>
      <c r="M33" t="s">
        <v>43</v>
      </c>
    </row>
    <row r="34" spans="10:13">
      <c r="J34">
        <v>4</v>
      </c>
      <c r="K34">
        <f>J34*16</f>
        <v>64</v>
      </c>
      <c r="L34">
        <f>K34/J32</f>
        <v>1.0666666666666667</v>
      </c>
      <c r="M34">
        <f>L34*L32</f>
        <v>0.89186918399999993</v>
      </c>
    </row>
    <row r="55" spans="11:34">
      <c r="K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1:34">
      <c r="K56" s="4"/>
    </row>
    <row r="57" spans="11:34">
      <c r="K57" s="4"/>
    </row>
    <row r="58" spans="11:34">
      <c r="K58" s="4"/>
    </row>
    <row r="59" spans="11:34">
      <c r="K59" s="4"/>
    </row>
    <row r="60" spans="11:34">
      <c r="K60" s="4"/>
    </row>
    <row r="61" spans="11:34">
      <c r="K61" s="4"/>
    </row>
    <row r="62" spans="11:34">
      <c r="K62" s="4"/>
    </row>
    <row r="63" spans="11:34">
      <c r="K63" s="4"/>
    </row>
    <row r="64" spans="11:34">
      <c r="K64" s="4"/>
    </row>
    <row r="65" spans="11:11">
      <c r="K65" s="4"/>
    </row>
    <row r="66" spans="11:11">
      <c r="K66" s="4"/>
    </row>
    <row r="67" spans="11:11">
      <c r="K67" s="4"/>
    </row>
    <row r="68" spans="11:11">
      <c r="K68" s="4"/>
    </row>
    <row r="69" spans="11:11">
      <c r="K69" s="4"/>
    </row>
    <row r="70" spans="11:11">
      <c r="K70" s="4"/>
    </row>
    <row r="71" spans="11:11">
      <c r="K71" s="4"/>
    </row>
    <row r="72" spans="11:11">
      <c r="K7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17A5B-BF07-47B9-A162-7E8591E96681}">
  <dimension ref="A1:O24"/>
  <sheetViews>
    <sheetView tabSelected="1" zoomScaleNormal="10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L9" sqref="L9"/>
    </sheetView>
  </sheetViews>
  <sheetFormatPr defaultRowHeight="15"/>
  <cols>
    <col min="2" max="2" width="13.85546875" bestFit="1" customWidth="1"/>
    <col min="3" max="3" width="19" bestFit="1" customWidth="1"/>
    <col min="4" max="4" width="19.5703125" bestFit="1" customWidth="1"/>
    <col min="5" max="5" width="13.85546875" bestFit="1" customWidth="1"/>
    <col min="6" max="6" width="19" bestFit="1" customWidth="1"/>
    <col min="7" max="7" width="19.5703125" bestFit="1" customWidth="1"/>
    <col min="8" max="8" width="13.85546875" bestFit="1" customWidth="1"/>
    <col min="9" max="10" width="22.42578125" customWidth="1"/>
    <col min="11" max="11" width="13.42578125" bestFit="1" customWidth="1"/>
    <col min="12" max="12" width="19.5703125" bestFit="1" customWidth="1"/>
    <col min="13" max="13" width="19.5703125" customWidth="1"/>
    <col min="14" max="14" width="24.140625" customWidth="1"/>
    <col min="15" max="15" width="23.140625" customWidth="1"/>
  </cols>
  <sheetData>
    <row r="1" spans="1:15" ht="45">
      <c r="A1" s="5"/>
      <c r="B1" s="6" t="s">
        <v>7</v>
      </c>
      <c r="C1" s="6" t="s">
        <v>8</v>
      </c>
      <c r="D1" s="7" t="s">
        <v>17</v>
      </c>
      <c r="E1" s="6" t="s">
        <v>9</v>
      </c>
      <c r="F1" s="6" t="s">
        <v>10</v>
      </c>
      <c r="G1" s="7" t="s">
        <v>18</v>
      </c>
      <c r="H1" s="6" t="s">
        <v>11</v>
      </c>
      <c r="I1" s="6" t="s">
        <v>12</v>
      </c>
      <c r="J1" s="6" t="s">
        <v>44</v>
      </c>
      <c r="K1" s="14" t="s">
        <v>24</v>
      </c>
      <c r="L1" s="13" t="s">
        <v>19</v>
      </c>
      <c r="M1" s="10" t="s">
        <v>28</v>
      </c>
      <c r="N1" s="16" t="s">
        <v>29</v>
      </c>
      <c r="O1" s="16" t="s">
        <v>30</v>
      </c>
    </row>
    <row r="2" spans="1:15">
      <c r="A2" s="5">
        <v>2008</v>
      </c>
      <c r="B2" s="5">
        <v>2.04</v>
      </c>
      <c r="C2" s="5">
        <v>1.82</v>
      </c>
      <c r="D2" s="8">
        <f>C2*0.09290304*1000*(1-J2/100)</f>
        <v>156.40226784000004</v>
      </c>
      <c r="E2" s="5">
        <v>1.1000000000000001</v>
      </c>
      <c r="F2" s="5">
        <v>1.0900000000000001</v>
      </c>
      <c r="G2" s="8">
        <f>F2*0.09290304*1000*(1-J2/100)</f>
        <v>93.669490080000031</v>
      </c>
      <c r="H2" s="5">
        <v>11.87</v>
      </c>
      <c r="I2" s="5">
        <v>12.81</v>
      </c>
      <c r="J2">
        <v>7.5</v>
      </c>
      <c r="K2" s="15">
        <f>H2/I2</f>
        <v>0.92661982825917244</v>
      </c>
      <c r="L2" s="9">
        <f>I2*0.09290304*1000*(1-J2/100)</f>
        <v>1100.8313467200003</v>
      </c>
      <c r="M2" s="9">
        <f>'CARE DATA'!P8</f>
        <v>1044.0118669734456</v>
      </c>
      <c r="N2" s="17">
        <f>D2/M2</f>
        <v>0.14980889852660853</v>
      </c>
      <c r="O2" s="17">
        <f>G2/M2</f>
        <v>8.9720713952749068E-2</v>
      </c>
    </row>
    <row r="3" spans="1:15">
      <c r="A3" s="5">
        <v>2009</v>
      </c>
      <c r="B3" s="5">
        <v>1.58</v>
      </c>
      <c r="C3" s="5">
        <v>1.65</v>
      </c>
      <c r="D3" s="8">
        <f t="shared" ref="D3:D19" si="0">C3*0.09290304*1000*(1-J3/100)</f>
        <v>141.7932648</v>
      </c>
      <c r="E3" s="5">
        <v>0.85</v>
      </c>
      <c r="F3" s="5">
        <v>0.79</v>
      </c>
      <c r="G3" s="8">
        <f t="shared" ref="G3:G19" si="1">F3*0.09290304*1000*(1-J3/100)</f>
        <v>67.888896480000014</v>
      </c>
      <c r="H3" s="5">
        <v>9.2899999999999991</v>
      </c>
      <c r="I3" s="5">
        <v>10.6</v>
      </c>
      <c r="J3">
        <v>7.5</v>
      </c>
      <c r="K3" s="15">
        <f t="shared" ref="K3:K19" si="2">H3/I3</f>
        <v>0.87641509433962261</v>
      </c>
      <c r="L3" s="9">
        <f t="shared" ref="L3:L19" si="3">I3*0.09290304*1000*(1-J3/100)</f>
        <v>910.91430720000005</v>
      </c>
      <c r="M3" s="9">
        <f>'CARE DATA'!P9</f>
        <v>888.97865033949597</v>
      </c>
      <c r="N3" s="17">
        <f t="shared" ref="N3:N19" si="4">D3/M3</f>
        <v>0.159501316196795</v>
      </c>
      <c r="O3" s="17">
        <f t="shared" ref="O3:O19" si="5">G3/M3</f>
        <v>7.6367296845738217E-2</v>
      </c>
    </row>
    <row r="4" spans="1:15">
      <c r="A4" s="5">
        <v>2010</v>
      </c>
      <c r="B4" s="5">
        <v>1.86</v>
      </c>
      <c r="C4" s="5">
        <v>1.96</v>
      </c>
      <c r="D4" s="8">
        <f t="shared" si="0"/>
        <v>168.43321152000001</v>
      </c>
      <c r="E4" s="5">
        <v>1</v>
      </c>
      <c r="F4" s="5">
        <v>0.95</v>
      </c>
      <c r="G4" s="8">
        <f t="shared" si="1"/>
        <v>81.63854640000001</v>
      </c>
      <c r="H4" s="5">
        <v>9.39</v>
      </c>
      <c r="I4" s="5">
        <v>10.69</v>
      </c>
      <c r="J4">
        <v>7.5</v>
      </c>
      <c r="K4" s="15">
        <f t="shared" si="2"/>
        <v>0.8783910196445277</v>
      </c>
      <c r="L4" s="9">
        <f t="shared" si="3"/>
        <v>918.64848528000005</v>
      </c>
      <c r="M4" s="9">
        <f>'CARE DATA'!P10</f>
        <v>852.79594146352952</v>
      </c>
      <c r="N4" s="17">
        <f t="shared" si="4"/>
        <v>0.19750705101966434</v>
      </c>
      <c r="O4" s="17">
        <f t="shared" si="5"/>
        <v>9.5730458402388335E-2</v>
      </c>
    </row>
    <row r="5" spans="1:15">
      <c r="A5" s="5">
        <v>2011</v>
      </c>
      <c r="B5" s="5">
        <v>2.0299999999999998</v>
      </c>
      <c r="C5" s="5">
        <v>1.96</v>
      </c>
      <c r="D5" s="8">
        <f t="shared" si="0"/>
        <v>168.43321152000001</v>
      </c>
      <c r="E5" s="5">
        <v>1.07</v>
      </c>
      <c r="F5" s="5">
        <v>1.01</v>
      </c>
      <c r="G5" s="8">
        <f t="shared" si="1"/>
        <v>86.794665120000005</v>
      </c>
      <c r="H5" s="5">
        <v>9.5299999999999994</v>
      </c>
      <c r="I5" s="5">
        <v>10.220000000000001</v>
      </c>
      <c r="J5">
        <v>7.5</v>
      </c>
      <c r="K5" s="15">
        <f t="shared" si="2"/>
        <v>0.93248532289628172</v>
      </c>
      <c r="L5" s="9">
        <f t="shared" si="3"/>
        <v>878.25888864000024</v>
      </c>
      <c r="M5" s="9">
        <f>'CARE DATA'!P11</f>
        <v>884.47851295865553</v>
      </c>
      <c r="N5" s="17">
        <f t="shared" si="4"/>
        <v>0.19043222537603163</v>
      </c>
      <c r="O5" s="17">
        <f t="shared" si="5"/>
        <v>9.8130891647853033E-2</v>
      </c>
    </row>
    <row r="6" spans="1:15">
      <c r="A6" s="5">
        <v>2012</v>
      </c>
      <c r="B6" s="5">
        <v>2.17</v>
      </c>
      <c r="C6" s="5">
        <v>2.08</v>
      </c>
      <c r="D6" s="8">
        <f t="shared" si="0"/>
        <v>178.74544896</v>
      </c>
      <c r="E6" s="5">
        <v>1.1000000000000001</v>
      </c>
      <c r="F6" s="5">
        <v>0.98</v>
      </c>
      <c r="G6" s="8">
        <f t="shared" si="1"/>
        <v>84.216605760000007</v>
      </c>
      <c r="H6" s="5">
        <v>10.039999999999999</v>
      </c>
      <c r="I6" s="5">
        <v>10.46</v>
      </c>
      <c r="J6">
        <v>7.5</v>
      </c>
      <c r="K6" s="15">
        <f t="shared" si="2"/>
        <v>0.95984703632887169</v>
      </c>
      <c r="L6" s="9">
        <f t="shared" si="3"/>
        <v>898.8833635200001</v>
      </c>
      <c r="M6" s="9">
        <f>'CARE DATA'!P12</f>
        <v>862.46986085243702</v>
      </c>
      <c r="N6" s="17">
        <f t="shared" si="4"/>
        <v>0.20724834231695222</v>
      </c>
      <c r="O6" s="17">
        <f t="shared" si="5"/>
        <v>9.7645853591640949E-2</v>
      </c>
    </row>
    <row r="7" spans="1:15">
      <c r="A7" s="5">
        <v>2013</v>
      </c>
      <c r="B7" s="5">
        <v>2.2999999999999998</v>
      </c>
      <c r="C7" s="5">
        <v>2.16</v>
      </c>
      <c r="D7" s="8">
        <f t="shared" si="0"/>
        <v>180.90451560960003</v>
      </c>
      <c r="E7" s="5">
        <v>1.1100000000000001</v>
      </c>
      <c r="F7" s="5">
        <v>1.07</v>
      </c>
      <c r="G7" s="8">
        <f t="shared" si="1"/>
        <v>89.614736899199997</v>
      </c>
      <c r="H7" s="5">
        <v>10.51</v>
      </c>
      <c r="I7" s="5">
        <v>10.86</v>
      </c>
      <c r="J7">
        <f>(J6+J8)/2</f>
        <v>9.85</v>
      </c>
      <c r="K7" s="15">
        <f t="shared" si="2"/>
        <v>0.9677716390423573</v>
      </c>
      <c r="L7" s="9">
        <f t="shared" si="3"/>
        <v>909.54770348159991</v>
      </c>
      <c r="M7" s="9">
        <f>'CARE DATA'!P13</f>
        <v>877.85429590080003</v>
      </c>
      <c r="N7" s="17">
        <f t="shared" si="4"/>
        <v>0.20607578780937325</v>
      </c>
      <c r="O7" s="17">
        <f t="shared" si="5"/>
        <v>0.10208383933149506</v>
      </c>
    </row>
    <row r="8" spans="1:15">
      <c r="A8" s="5">
        <v>2014</v>
      </c>
      <c r="B8" s="5">
        <v>2.62</v>
      </c>
      <c r="C8" s="5">
        <v>2.44</v>
      </c>
      <c r="D8" s="8">
        <f t="shared" si="0"/>
        <v>199.0280406528</v>
      </c>
      <c r="E8" s="5">
        <v>1.1200000000000001</v>
      </c>
      <c r="F8" s="5">
        <v>1</v>
      </c>
      <c r="G8" s="8">
        <f t="shared" si="1"/>
        <v>81.568869120000002</v>
      </c>
      <c r="H8" s="5">
        <v>11.26</v>
      </c>
      <c r="I8" s="5">
        <v>11.36</v>
      </c>
      <c r="J8">
        <v>12.2</v>
      </c>
      <c r="K8" s="15">
        <f t="shared" si="2"/>
        <v>0.99119718309859162</v>
      </c>
      <c r="L8" s="9">
        <f t="shared" si="3"/>
        <v>926.62235320320008</v>
      </c>
      <c r="M8" s="9">
        <f>'CARE DATA'!P14</f>
        <v>873.84971036160005</v>
      </c>
      <c r="N8" s="17">
        <f t="shared" si="4"/>
        <v>0.22776003504131387</v>
      </c>
      <c r="O8" s="17">
        <f t="shared" si="5"/>
        <v>9.3344276656276176E-2</v>
      </c>
    </row>
    <row r="9" spans="1:15">
      <c r="A9" s="5">
        <v>2015</v>
      </c>
      <c r="B9" s="5">
        <v>2.69</v>
      </c>
      <c r="C9" s="5">
        <v>2.56</v>
      </c>
      <c r="D9" s="8">
        <f t="shared" si="0"/>
        <v>207.62714603520004</v>
      </c>
      <c r="E9" s="5">
        <v>1.03</v>
      </c>
      <c r="F9" s="5">
        <v>0.88</v>
      </c>
      <c r="G9" s="8">
        <f t="shared" si="1"/>
        <v>71.371831449600009</v>
      </c>
      <c r="H9" s="5">
        <v>11.29</v>
      </c>
      <c r="I9" s="5">
        <v>11.29</v>
      </c>
      <c r="J9">
        <v>12.7</v>
      </c>
      <c r="K9" s="15">
        <f t="shared" si="2"/>
        <v>1</v>
      </c>
      <c r="L9" s="9">
        <f t="shared" si="3"/>
        <v>915.66815575680005</v>
      </c>
      <c r="M9" s="9">
        <f>'CARE DATA'!P15</f>
        <v>880.07839467840006</v>
      </c>
      <c r="N9" s="17">
        <f t="shared" si="4"/>
        <v>0.23591892187180843</v>
      </c>
      <c r="O9" s="17">
        <f t="shared" si="5"/>
        <v>8.1097129393434136E-2</v>
      </c>
    </row>
    <row r="10" spans="1:15">
      <c r="A10" s="5">
        <v>2016</v>
      </c>
      <c r="B10" s="5">
        <v>2.83</v>
      </c>
      <c r="C10" s="5">
        <v>2.77</v>
      </c>
      <c r="D10" s="8">
        <f t="shared" si="0"/>
        <v>224.91640177919999</v>
      </c>
      <c r="E10" s="5">
        <v>0.97</v>
      </c>
      <c r="F10" s="5">
        <v>0.86</v>
      </c>
      <c r="G10" s="8">
        <f t="shared" si="1"/>
        <v>69.829640985600008</v>
      </c>
      <c r="H10" s="5">
        <v>11.13</v>
      </c>
      <c r="I10" s="5">
        <v>11.44</v>
      </c>
      <c r="J10">
        <v>12.6</v>
      </c>
      <c r="K10" s="15">
        <f t="shared" si="2"/>
        <v>0.97290209790209803</v>
      </c>
      <c r="L10" s="9">
        <f t="shared" si="3"/>
        <v>928.89661962239995</v>
      </c>
      <c r="M10" s="9">
        <f>'CARE DATA'!P16</f>
        <v>882.51198981120001</v>
      </c>
      <c r="N10" s="17">
        <f t="shared" si="4"/>
        <v>0.25485931565339687</v>
      </c>
      <c r="O10" s="17">
        <f t="shared" si="5"/>
        <v>7.9125996917661132E-2</v>
      </c>
    </row>
    <row r="11" spans="1:15">
      <c r="A11" s="5">
        <v>2017</v>
      </c>
      <c r="B11" s="5">
        <v>2.95</v>
      </c>
      <c r="C11" s="5">
        <v>3.1</v>
      </c>
      <c r="D11" s="8">
        <f t="shared" si="0"/>
        <v>252.28749542399999</v>
      </c>
      <c r="E11" s="5">
        <v>1</v>
      </c>
      <c r="F11" s="5">
        <v>0.91</v>
      </c>
      <c r="G11" s="8">
        <f t="shared" si="1"/>
        <v>74.058587366400019</v>
      </c>
      <c r="H11" s="5">
        <v>12.39</v>
      </c>
      <c r="I11" s="5">
        <v>12.44</v>
      </c>
      <c r="J11">
        <v>12.4</v>
      </c>
      <c r="K11" s="15">
        <f t="shared" si="2"/>
        <v>0.99598070739549849</v>
      </c>
      <c r="L11" s="9">
        <f t="shared" si="3"/>
        <v>1012.4053042176</v>
      </c>
      <c r="M11" s="9">
        <f>'CARE DATA'!P17</f>
        <v>916.74118586880002</v>
      </c>
      <c r="N11" s="18">
        <f t="shared" si="4"/>
        <v>0.27520035023288053</v>
      </c>
      <c r="O11" s="18">
        <f t="shared" si="5"/>
        <v>8.0784618939329464E-2</v>
      </c>
    </row>
    <row r="12" spans="1:15">
      <c r="A12" s="5">
        <v>2018</v>
      </c>
      <c r="B12" s="5">
        <v>3.3231999999999999</v>
      </c>
      <c r="C12" s="5">
        <v>3.5569999999999999</v>
      </c>
      <c r="D12" s="8">
        <f t="shared" si="0"/>
        <v>290.14046745984001</v>
      </c>
      <c r="E12" s="5">
        <v>0.9778</v>
      </c>
      <c r="F12" s="5">
        <v>0.87529999999999997</v>
      </c>
      <c r="G12" s="8">
        <f t="shared" si="1"/>
        <v>71.397231140735997</v>
      </c>
      <c r="H12" s="5">
        <v>12.38</v>
      </c>
      <c r="I12" s="5">
        <v>12.061</v>
      </c>
      <c r="J12">
        <v>12.2</v>
      </c>
      <c r="K12" s="15">
        <f t="shared" si="2"/>
        <v>1.0264488848354201</v>
      </c>
      <c r="L12" s="9">
        <f t="shared" si="3"/>
        <v>983.8021304563199</v>
      </c>
      <c r="M12" s="9">
        <f>'CARE DATA'!P18</f>
        <v>889.06156122815992</v>
      </c>
      <c r="N12" s="18">
        <f t="shared" si="4"/>
        <v>0.32634463136505037</v>
      </c>
      <c r="O12" s="18">
        <f t="shared" si="5"/>
        <v>8.030628502497289E-2</v>
      </c>
    </row>
    <row r="13" spans="1:15">
      <c r="A13" s="5">
        <v>2019</v>
      </c>
      <c r="B13" s="5">
        <v>3.181</v>
      </c>
      <c r="C13" s="5">
        <v>3.5558999999999998</v>
      </c>
      <c r="D13" s="8">
        <f t="shared" si="0"/>
        <v>288.06861818419202</v>
      </c>
      <c r="E13" s="5">
        <v>0.91090000000000004</v>
      </c>
      <c r="F13" s="5">
        <v>0.77629999999999999</v>
      </c>
      <c r="G13" s="8">
        <f t="shared" si="1"/>
        <v>62.889189318143998</v>
      </c>
      <c r="H13" s="5">
        <v>11.311999999999999</v>
      </c>
      <c r="I13" s="5">
        <v>11.151999999999999</v>
      </c>
      <c r="J13">
        <v>12.8</v>
      </c>
      <c r="K13" s="15">
        <f t="shared" si="2"/>
        <v>1.0143472022955524</v>
      </c>
      <c r="L13" s="9">
        <f t="shared" si="3"/>
        <v>903.43970021375992</v>
      </c>
      <c r="M13" s="9">
        <f>'CARE DATA'!P19</f>
        <v>825.05071634687999</v>
      </c>
      <c r="N13" s="18">
        <f t="shared" si="4"/>
        <v>0.34915261871377851</v>
      </c>
      <c r="O13" s="18">
        <f t="shared" si="5"/>
        <v>7.6224634525016516E-2</v>
      </c>
    </row>
    <row r="14" spans="1:15">
      <c r="A14" s="5">
        <v>2020</v>
      </c>
      <c r="B14" s="5">
        <v>3.2462</v>
      </c>
      <c r="C14" s="5">
        <v>4.0903</v>
      </c>
      <c r="D14" s="8">
        <f t="shared" si="0"/>
        <v>334.02114666604803</v>
      </c>
      <c r="E14" s="5">
        <v>0.77329999999999999</v>
      </c>
      <c r="F14" s="5">
        <v>0.62570000000000003</v>
      </c>
      <c r="G14" s="8">
        <f t="shared" si="1"/>
        <v>51.095770840512003</v>
      </c>
      <c r="H14" s="5">
        <v>10.99</v>
      </c>
      <c r="I14" s="5">
        <v>11.423999999999999</v>
      </c>
      <c r="J14">
        <v>12.1</v>
      </c>
      <c r="K14" s="15">
        <f t="shared" si="2"/>
        <v>0.96200980392156865</v>
      </c>
      <c r="L14" s="9">
        <f t="shared" si="3"/>
        <v>932.90408515583999</v>
      </c>
      <c r="M14" s="9">
        <f>'CARE DATA'!P20</f>
        <v>932.90408515583999</v>
      </c>
      <c r="N14" s="18">
        <f t="shared" si="4"/>
        <v>0.35804446778711485</v>
      </c>
      <c r="O14" s="18">
        <f t="shared" si="5"/>
        <v>5.4770658263305329E-2</v>
      </c>
    </row>
    <row r="15" spans="1:15">
      <c r="A15" s="5">
        <v>2021</v>
      </c>
      <c r="B15" s="5">
        <v>4.4039000000000001</v>
      </c>
      <c r="C15" s="5">
        <v>5.3746</v>
      </c>
      <c r="D15" s="8">
        <f t="shared" si="0"/>
        <v>442.39457740262401</v>
      </c>
      <c r="E15" s="5">
        <v>0.77649999999999997</v>
      </c>
      <c r="F15" s="5">
        <v>0.65739999999999998</v>
      </c>
      <c r="G15" s="8">
        <f t="shared" si="1"/>
        <v>54.111970227456005</v>
      </c>
      <c r="H15" s="5">
        <v>13.009</v>
      </c>
      <c r="I15" s="5">
        <v>13.244999999999999</v>
      </c>
      <c r="J15">
        <v>11.4</v>
      </c>
      <c r="K15" s="15">
        <f t="shared" si="2"/>
        <v>0.98218195545488873</v>
      </c>
      <c r="L15" s="9">
        <f t="shared" si="3"/>
        <v>1090.2236776128</v>
      </c>
      <c r="M15" s="9">
        <f>'CARE DATA'!P21</f>
        <v>1090.2236776128</v>
      </c>
      <c r="N15" s="18">
        <f t="shared" si="4"/>
        <v>0.40578331445828614</v>
      </c>
      <c r="O15" s="18">
        <f t="shared" si="5"/>
        <v>4.963382408456022E-2</v>
      </c>
    </row>
    <row r="16" spans="1:15">
      <c r="A16" s="5">
        <v>2022</v>
      </c>
      <c r="B16">
        <v>4.1026999999999996</v>
      </c>
      <c r="C16">
        <v>4.4352</v>
      </c>
      <c r="D16" s="8">
        <f t="shared" si="0"/>
        <v>368.36694532915203</v>
      </c>
      <c r="E16">
        <v>0.77990000000000004</v>
      </c>
      <c r="F16">
        <v>0.62239999999999995</v>
      </c>
      <c r="G16" s="8">
        <f t="shared" si="1"/>
        <v>51.693629773824</v>
      </c>
      <c r="H16">
        <v>12.345000000000001</v>
      </c>
      <c r="I16">
        <v>11.869</v>
      </c>
      <c r="J16">
        <v>10.6</v>
      </c>
      <c r="K16" s="15">
        <f t="shared" si="2"/>
        <v>1.0401044738394136</v>
      </c>
      <c r="L16" s="9">
        <f t="shared" si="3"/>
        <v>985.78356649344016</v>
      </c>
      <c r="M16" s="9">
        <f>'CARE DATA'!P22</f>
        <v>985.78356649344016</v>
      </c>
      <c r="N16" s="18">
        <f t="shared" si="4"/>
        <v>0.37367933271547726</v>
      </c>
      <c r="O16" s="18">
        <f t="shared" si="5"/>
        <v>5.2439127137922308E-2</v>
      </c>
    </row>
    <row r="17" spans="1:15">
      <c r="A17" s="5">
        <v>2023</v>
      </c>
      <c r="B17">
        <v>3.5834999999999999</v>
      </c>
      <c r="C17">
        <v>4.1479999999999997</v>
      </c>
      <c r="D17" s="8">
        <f t="shared" si="0"/>
        <v>336.42086006016001</v>
      </c>
      <c r="E17">
        <v>0.75670000000000004</v>
      </c>
      <c r="F17">
        <v>0.6028</v>
      </c>
      <c r="G17" s="8">
        <f t="shared" si="1"/>
        <v>48.889704542976006</v>
      </c>
      <c r="H17">
        <v>11.861000000000001</v>
      </c>
      <c r="I17">
        <v>11.077999999999999</v>
      </c>
      <c r="J17">
        <v>12.7</v>
      </c>
      <c r="K17" s="15">
        <f t="shared" si="2"/>
        <v>1.0706806282722514</v>
      </c>
      <c r="L17" s="9">
        <f t="shared" si="3"/>
        <v>898.47403272576014</v>
      </c>
      <c r="M17" s="9">
        <f>'CARE DATA'!P23</f>
        <v>898.47403272576014</v>
      </c>
      <c r="N17" s="18">
        <f t="shared" si="4"/>
        <v>0.37443581873984472</v>
      </c>
      <c r="O17" s="18">
        <f t="shared" si="5"/>
        <v>5.441415417945477E-2</v>
      </c>
    </row>
    <row r="18" spans="1:15">
      <c r="A18" s="5">
        <v>2024</v>
      </c>
      <c r="B18">
        <v>3.7982999999999998</v>
      </c>
      <c r="C18">
        <v>4.6047000000000002</v>
      </c>
      <c r="D18" s="8">
        <f t="shared" si="0"/>
        <v>374.74459038028806</v>
      </c>
      <c r="E18">
        <v>0.73209999999999997</v>
      </c>
      <c r="F18">
        <v>0.60029999999999994</v>
      </c>
      <c r="G18" s="8">
        <f t="shared" si="1"/>
        <v>48.854252742911996</v>
      </c>
      <c r="H18">
        <v>11.754</v>
      </c>
      <c r="I18">
        <v>10.881</v>
      </c>
      <c r="J18">
        <v>12.4</v>
      </c>
      <c r="K18" s="15">
        <f t="shared" si="2"/>
        <v>1.0802315963606286</v>
      </c>
      <c r="L18" s="9">
        <f t="shared" si="3"/>
        <v>885.52910893824014</v>
      </c>
      <c r="M18" s="9">
        <f>'CARE DATA'!P24</f>
        <v>885.52910893824014</v>
      </c>
      <c r="N18" s="18">
        <f t="shared" si="4"/>
        <v>0.42318720705817481</v>
      </c>
      <c r="O18" s="18">
        <f t="shared" si="5"/>
        <v>5.5169561621174514E-2</v>
      </c>
    </row>
    <row r="19" spans="1:15">
      <c r="A19" s="5">
        <v>2025</v>
      </c>
      <c r="B19">
        <v>3.8902999999999999</v>
      </c>
      <c r="C19">
        <v>4.4332000000000003</v>
      </c>
      <c r="D19" s="8">
        <f t="shared" si="0"/>
        <v>357.080675256576</v>
      </c>
      <c r="E19">
        <v>0.69940000000000002</v>
      </c>
      <c r="F19">
        <v>0.52749999999999997</v>
      </c>
      <c r="G19" s="8">
        <f t="shared" si="1"/>
        <v>42.488508571200001</v>
      </c>
      <c r="H19">
        <v>11.529</v>
      </c>
      <c r="I19">
        <v>10.637</v>
      </c>
      <c r="J19">
        <v>13.3</v>
      </c>
      <c r="K19" s="15">
        <f t="shared" si="2"/>
        <v>1.0838582307041458</v>
      </c>
      <c r="L19" s="9">
        <f t="shared" si="3"/>
        <v>856.77775482816014</v>
      </c>
      <c r="M19" s="9">
        <f>'CARE DATA'!P25</f>
        <v>856.77775482816014</v>
      </c>
      <c r="N19" s="18">
        <f t="shared" si="4"/>
        <v>0.41677164614082912</v>
      </c>
      <c r="O19" s="18">
        <f t="shared" si="5"/>
        <v>4.9591050108113183E-2</v>
      </c>
    </row>
    <row r="20" spans="1:15">
      <c r="A20" t="s">
        <v>13</v>
      </c>
      <c r="K20" s="4">
        <f>AVERAGE(K2:K19)</f>
        <v>0.98674848358838274</v>
      </c>
      <c r="N20" s="4">
        <f>AVERAGE(N2:N10)</f>
        <v>0.2032346548679938</v>
      </c>
      <c r="O20" s="4">
        <f>AVERAGE(O2:O10)</f>
        <v>9.0360717415470679E-2</v>
      </c>
    </row>
    <row r="21" spans="1:15">
      <c r="A21" t="s">
        <v>14</v>
      </c>
      <c r="N21" s="4">
        <f>AVERAGE(N11:N19)</f>
        <v>0.36695548746793738</v>
      </c>
      <c r="O21" s="4">
        <f>AVERAGE(O11:O19)</f>
        <v>6.1481545987094356E-2</v>
      </c>
    </row>
    <row r="22" spans="1:15">
      <c r="A22" t="s">
        <v>15</v>
      </c>
    </row>
    <row r="24" spans="1:15">
      <c r="A24" t="s">
        <v>23</v>
      </c>
      <c r="D24" s="12">
        <v>1.1299999999999999</v>
      </c>
    </row>
  </sheetData>
  <pageMargins left="0.7" right="0.7" top="0.75" bottom="0.75" header="0.3" footer="0.3"/>
  <pageSetup orientation="portrait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072547-0459-4FF4-A6A6-1B596A99CC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CARE DATA</vt:lpstr>
      <vt:lpstr>FCW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Mingming Chen</dc:creator>
  <cp:lastModifiedBy>Mingming Chen</cp:lastModifiedBy>
  <dcterms:created xsi:type="dcterms:W3CDTF">2015-06-05T18:17:20Z</dcterms:created>
  <dcterms:modified xsi:type="dcterms:W3CDTF">2026-10-15T18:24:58Z</dcterms:modified>
</cp:coreProperties>
</file>