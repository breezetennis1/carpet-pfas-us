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chen48\dev\carpet-pfas\data\raw\national_input\"/>
    </mc:Choice>
  </mc:AlternateContent>
  <xr:revisionPtr revIDLastSave="0" documentId="13_ncr:1_{F48D6D33-93CC-4466-A99F-96D4C0C2E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_HIG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AT1" i="1" l="1"/>
  <c r="EG80" i="1" l="1"/>
  <c r="EG79" i="1"/>
  <c r="EG78" i="1"/>
  <c r="EG77" i="1"/>
  <c r="EG76" i="1"/>
  <c r="EG75" i="1"/>
  <c r="EG74" i="1"/>
  <c r="EG73" i="1"/>
  <c r="EG72" i="1"/>
  <c r="EG71" i="1"/>
  <c r="EG70" i="1"/>
  <c r="EG69" i="1"/>
  <c r="EG68" i="1"/>
  <c r="EG67" i="1"/>
  <c r="EG66" i="1"/>
  <c r="EG65" i="1"/>
  <c r="EG64" i="1"/>
  <c r="EG63" i="1"/>
  <c r="EG62" i="1"/>
  <c r="EG61" i="1"/>
  <c r="EG60" i="1"/>
  <c r="EG59" i="1"/>
  <c r="EG58" i="1"/>
  <c r="EG57" i="1"/>
  <c r="EG56" i="1"/>
  <c r="EG55" i="1"/>
  <c r="EG54" i="1"/>
  <c r="EG53" i="1"/>
  <c r="EG52" i="1"/>
  <c r="EG51" i="1"/>
  <c r="EG50" i="1"/>
  <c r="EG49" i="1"/>
  <c r="EG48" i="1"/>
  <c r="EG47" i="1"/>
  <c r="EG46" i="1"/>
  <c r="EG45" i="1"/>
  <c r="EG44" i="1"/>
  <c r="EG43" i="1"/>
  <c r="EG42" i="1"/>
  <c r="EG41" i="1"/>
  <c r="EG40" i="1"/>
  <c r="EG39" i="1"/>
  <c r="EG38" i="1"/>
  <c r="EG37" i="1"/>
  <c r="EG36" i="1"/>
  <c r="EG35" i="1"/>
  <c r="EG34" i="1"/>
  <c r="EG33" i="1"/>
  <c r="EG32" i="1"/>
  <c r="EG31" i="1"/>
  <c r="EG30" i="1"/>
  <c r="EG29" i="1"/>
  <c r="EG28" i="1"/>
  <c r="EG27" i="1"/>
  <c r="EG26" i="1"/>
  <c r="EG25" i="1"/>
  <c r="EG24" i="1"/>
  <c r="EG23" i="1"/>
  <c r="EG22" i="1"/>
  <c r="EG21" i="1"/>
  <c r="EG20" i="1"/>
  <c r="EG19" i="1"/>
  <c r="EG18" i="1"/>
  <c r="EG17" i="1"/>
  <c r="EG16" i="1"/>
  <c r="EG15" i="1"/>
  <c r="EG14" i="1"/>
  <c r="EG13" i="1"/>
  <c r="EG12" i="1"/>
  <c r="EG11" i="1"/>
  <c r="EG10" i="1"/>
  <c r="O41" i="1"/>
  <c r="T41" i="1" s="1"/>
  <c r="AK41" i="1" s="1"/>
  <c r="O40" i="1"/>
  <c r="T40" i="1" s="1"/>
  <c r="AK40" i="1" s="1"/>
  <c r="O39" i="1"/>
  <c r="T39" i="1" s="1"/>
  <c r="AK39" i="1" s="1"/>
  <c r="O38" i="1"/>
  <c r="T38" i="1" s="1"/>
  <c r="AK38" i="1" s="1"/>
  <c r="O37" i="1"/>
  <c r="T37" i="1" s="1"/>
  <c r="AK37" i="1" s="1"/>
  <c r="O36" i="1"/>
  <c r="T36" i="1" s="1"/>
  <c r="AK36" i="1" s="1"/>
  <c r="O35" i="1"/>
  <c r="T35" i="1" s="1"/>
  <c r="AK35" i="1" s="1"/>
  <c r="O34" i="1"/>
  <c r="T34" i="1" s="1"/>
  <c r="AK34" i="1" s="1"/>
  <c r="O33" i="1"/>
  <c r="T33" i="1" s="1"/>
  <c r="AK33" i="1" s="1"/>
  <c r="O32" i="1"/>
  <c r="T32" i="1" s="1"/>
  <c r="AK32" i="1" s="1"/>
  <c r="O31" i="1"/>
  <c r="T31" i="1" s="1"/>
  <c r="AK31" i="1" s="1"/>
  <c r="O30" i="1"/>
  <c r="T30" i="1" s="1"/>
  <c r="AK30" i="1" s="1"/>
  <c r="O29" i="1"/>
  <c r="T29" i="1" s="1"/>
  <c r="AK29" i="1" s="1"/>
  <c r="O28" i="1"/>
  <c r="T28" i="1" s="1"/>
  <c r="AK28" i="1" s="1"/>
  <c r="BD6" i="1" l="1"/>
  <c r="F41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BD3" i="1" l="1"/>
  <c r="BD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N41" i="1"/>
  <c r="R41" i="1" s="1"/>
  <c r="N40" i="1"/>
  <c r="R40" i="1" s="1"/>
  <c r="N39" i="1"/>
  <c r="R39" i="1" s="1"/>
  <c r="N38" i="1"/>
  <c r="R38" i="1" s="1"/>
  <c r="N37" i="1"/>
  <c r="R37" i="1" s="1"/>
  <c r="N36" i="1"/>
  <c r="R36" i="1" s="1"/>
  <c r="N35" i="1"/>
  <c r="R35" i="1" s="1"/>
  <c r="N34" i="1"/>
  <c r="R34" i="1" s="1"/>
  <c r="N33" i="1"/>
  <c r="R33" i="1" s="1"/>
  <c r="N32" i="1"/>
  <c r="R32" i="1" s="1"/>
  <c r="N31" i="1"/>
  <c r="R31" i="1" s="1"/>
  <c r="R30" i="1"/>
  <c r="N29" i="1"/>
  <c r="R29" i="1" s="1"/>
  <c r="N28" i="1"/>
  <c r="R28" i="1" s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CB112" i="1" l="1"/>
  <c r="BT112" i="1"/>
  <c r="BL112" i="1"/>
  <c r="CA112" i="1"/>
  <c r="BS112" i="1"/>
  <c r="BK112" i="1"/>
  <c r="BZ112" i="1"/>
  <c r="BR112" i="1"/>
  <c r="BJ112" i="1"/>
  <c r="BW112" i="1"/>
  <c r="BO112" i="1"/>
  <c r="BG112" i="1"/>
  <c r="CC112" i="1"/>
  <c r="BM112" i="1"/>
  <c r="BY112" i="1"/>
  <c r="BI112" i="1"/>
  <c r="BX112" i="1"/>
  <c r="BH112" i="1"/>
  <c r="BV112" i="1"/>
  <c r="BF112" i="1"/>
  <c r="BQ112" i="1"/>
  <c r="BU112" i="1"/>
  <c r="BP112" i="1"/>
  <c r="BN112" i="1"/>
  <c r="BE112" i="1"/>
  <c r="BP106" i="1"/>
  <c r="BH106" i="1"/>
  <c r="BW106" i="1"/>
  <c r="BO106" i="1"/>
  <c r="BG106" i="1"/>
  <c r="BV106" i="1"/>
  <c r="BN106" i="1"/>
  <c r="BF106" i="1"/>
  <c r="BU106" i="1"/>
  <c r="BM106" i="1"/>
  <c r="BE106" i="1"/>
  <c r="BS106" i="1"/>
  <c r="BK106" i="1"/>
  <c r="BJ106" i="1"/>
  <c r="BI106" i="1"/>
  <c r="BT106" i="1"/>
  <c r="BL106" i="1"/>
  <c r="BR106" i="1"/>
  <c r="BQ106" i="1"/>
  <c r="CD114" i="1"/>
  <c r="BV114" i="1"/>
  <c r="BN114" i="1"/>
  <c r="BF114" i="1"/>
  <c r="CC114" i="1"/>
  <c r="BU114" i="1"/>
  <c r="BM114" i="1"/>
  <c r="BE114" i="1"/>
  <c r="CB114" i="1"/>
  <c r="BT114" i="1"/>
  <c r="BL114" i="1"/>
  <c r="BY114" i="1"/>
  <c r="BQ114" i="1"/>
  <c r="BI114" i="1"/>
  <c r="CE114" i="1"/>
  <c r="BO114" i="1"/>
  <c r="CA114" i="1"/>
  <c r="BK114" i="1"/>
  <c r="BZ114" i="1"/>
  <c r="BJ114" i="1"/>
  <c r="BX114" i="1"/>
  <c r="BH114" i="1"/>
  <c r="BS114" i="1"/>
  <c r="BW114" i="1"/>
  <c r="BR114" i="1"/>
  <c r="BP114" i="1"/>
  <c r="BG114" i="1"/>
  <c r="CC113" i="1"/>
  <c r="BU113" i="1"/>
  <c r="BM113" i="1"/>
  <c r="BE113" i="1"/>
  <c r="CB113" i="1"/>
  <c r="BT113" i="1"/>
  <c r="BL113" i="1"/>
  <c r="CA113" i="1"/>
  <c r="BS113" i="1"/>
  <c r="BK113" i="1"/>
  <c r="BX113" i="1"/>
  <c r="BP113" i="1"/>
  <c r="BH113" i="1"/>
  <c r="BV113" i="1"/>
  <c r="BF113" i="1"/>
  <c r="BR113" i="1"/>
  <c r="BQ113" i="1"/>
  <c r="BO113" i="1"/>
  <c r="BZ113" i="1"/>
  <c r="BJ113" i="1"/>
  <c r="BI113" i="1"/>
  <c r="BG113" i="1"/>
  <c r="CD113" i="1"/>
  <c r="BY113" i="1"/>
  <c r="BW113" i="1"/>
  <c r="BN113" i="1"/>
  <c r="BI99" i="1"/>
  <c r="BP99" i="1"/>
  <c r="BH99" i="1"/>
  <c r="BO99" i="1"/>
  <c r="BG99" i="1"/>
  <c r="BL99" i="1"/>
  <c r="BK99" i="1"/>
  <c r="BN99" i="1"/>
  <c r="BE99" i="1"/>
  <c r="BM99" i="1"/>
  <c r="BJ99" i="1"/>
  <c r="BF99" i="1"/>
  <c r="BQ107" i="1"/>
  <c r="BI107" i="1"/>
  <c r="BX107" i="1"/>
  <c r="BP107" i="1"/>
  <c r="BH107" i="1"/>
  <c r="BW107" i="1"/>
  <c r="BO107" i="1"/>
  <c r="BG107" i="1"/>
  <c r="BV107" i="1"/>
  <c r="BN107" i="1"/>
  <c r="BF107" i="1"/>
  <c r="BT107" i="1"/>
  <c r="BL107" i="1"/>
  <c r="BU107" i="1"/>
  <c r="BS107" i="1"/>
  <c r="BM107" i="1"/>
  <c r="BE107" i="1"/>
  <c r="BR107" i="1"/>
  <c r="BK107" i="1"/>
  <c r="BJ107" i="1"/>
  <c r="CE115" i="1"/>
  <c r="BW115" i="1"/>
  <c r="BO115" i="1"/>
  <c r="BG115" i="1"/>
  <c r="CD115" i="1"/>
  <c r="BV115" i="1"/>
  <c r="BN115" i="1"/>
  <c r="BF115" i="1"/>
  <c r="CC115" i="1"/>
  <c r="BU115" i="1"/>
  <c r="BM115" i="1"/>
  <c r="BE115" i="1"/>
  <c r="BZ115" i="1"/>
  <c r="BR115" i="1"/>
  <c r="BJ115" i="1"/>
  <c r="BX115" i="1"/>
  <c r="BH115" i="1"/>
  <c r="BT115" i="1"/>
  <c r="BS115" i="1"/>
  <c r="BQ115" i="1"/>
  <c r="CB115" i="1"/>
  <c r="BL115" i="1"/>
  <c r="CF115" i="1"/>
  <c r="CA115" i="1"/>
  <c r="BY115" i="1"/>
  <c r="BP115" i="1"/>
  <c r="BK115" i="1"/>
  <c r="BI115" i="1"/>
  <c r="BO105" i="1"/>
  <c r="BG105" i="1"/>
  <c r="BV105" i="1"/>
  <c r="BN105" i="1"/>
  <c r="BF105" i="1"/>
  <c r="BU105" i="1"/>
  <c r="BM105" i="1"/>
  <c r="BE105" i="1"/>
  <c r="BT105" i="1"/>
  <c r="BL105" i="1"/>
  <c r="BR105" i="1"/>
  <c r="BJ105" i="1"/>
  <c r="BQ105" i="1"/>
  <c r="BP105" i="1"/>
  <c r="BK105" i="1"/>
  <c r="BH105" i="1"/>
  <c r="BI105" i="1"/>
  <c r="BS105" i="1"/>
  <c r="BJ100" i="1"/>
  <c r="BQ100" i="1"/>
  <c r="BI100" i="1"/>
  <c r="BP100" i="1"/>
  <c r="BH100" i="1"/>
  <c r="BO100" i="1"/>
  <c r="BG100" i="1"/>
  <c r="BM100" i="1"/>
  <c r="BE100" i="1"/>
  <c r="BK100" i="1"/>
  <c r="BF100" i="1"/>
  <c r="BN100" i="1"/>
  <c r="BL100" i="1"/>
  <c r="BR108" i="1"/>
  <c r="BJ108" i="1"/>
  <c r="BY108" i="1"/>
  <c r="BQ108" i="1"/>
  <c r="BI108" i="1"/>
  <c r="BX108" i="1"/>
  <c r="BP108" i="1"/>
  <c r="BH108" i="1"/>
  <c r="BW108" i="1"/>
  <c r="BO108" i="1"/>
  <c r="BG108" i="1"/>
  <c r="BU108" i="1"/>
  <c r="BM108" i="1"/>
  <c r="BE108" i="1"/>
  <c r="BS108" i="1"/>
  <c r="BN108" i="1"/>
  <c r="BF108" i="1"/>
  <c r="BL108" i="1"/>
  <c r="BK108" i="1"/>
  <c r="BV108" i="1"/>
  <c r="BT108" i="1"/>
  <c r="CF116" i="1"/>
  <c r="BX116" i="1"/>
  <c r="BP116" i="1"/>
  <c r="BH116" i="1"/>
  <c r="CE116" i="1"/>
  <c r="BW116" i="1"/>
  <c r="BO116" i="1"/>
  <c r="BG116" i="1"/>
  <c r="CD116" i="1"/>
  <c r="BV116" i="1"/>
  <c r="BN116" i="1"/>
  <c r="BF116" i="1"/>
  <c r="CA116" i="1"/>
  <c r="BS116" i="1"/>
  <c r="BK116" i="1"/>
  <c r="CG116" i="1"/>
  <c r="BQ116" i="1"/>
  <c r="CC116" i="1"/>
  <c r="BM116" i="1"/>
  <c r="CB116" i="1"/>
  <c r="BL116" i="1"/>
  <c r="BZ116" i="1"/>
  <c r="BJ116" i="1"/>
  <c r="BU116" i="1"/>
  <c r="BE116" i="1"/>
  <c r="BI116" i="1"/>
  <c r="BR116" i="1"/>
  <c r="BY116" i="1"/>
  <c r="BT116" i="1"/>
  <c r="BS109" i="1"/>
  <c r="BK109" i="1"/>
  <c r="BZ109" i="1"/>
  <c r="BR109" i="1"/>
  <c r="BJ109" i="1"/>
  <c r="BY109" i="1"/>
  <c r="BQ109" i="1"/>
  <c r="BI109" i="1"/>
  <c r="BX109" i="1"/>
  <c r="BP109" i="1"/>
  <c r="BH109" i="1"/>
  <c r="BV109" i="1"/>
  <c r="BN109" i="1"/>
  <c r="BF109" i="1"/>
  <c r="BL109" i="1"/>
  <c r="BG109" i="1"/>
  <c r="BE109" i="1"/>
  <c r="BU109" i="1"/>
  <c r="BW109" i="1"/>
  <c r="BT109" i="1"/>
  <c r="BO109" i="1"/>
  <c r="BM109" i="1"/>
  <c r="BL102" i="1"/>
  <c r="BS102" i="1"/>
  <c r="BK102" i="1"/>
  <c r="BR102" i="1"/>
  <c r="BJ102" i="1"/>
  <c r="BQ102" i="1"/>
  <c r="BI102" i="1"/>
  <c r="BO102" i="1"/>
  <c r="BG102" i="1"/>
  <c r="BP102" i="1"/>
  <c r="BN102" i="1"/>
  <c r="BM102" i="1"/>
  <c r="BH102" i="1"/>
  <c r="BF102" i="1"/>
  <c r="BE102" i="1"/>
  <c r="BZ110" i="1"/>
  <c r="BY110" i="1"/>
  <c r="BQ110" i="1"/>
  <c r="BI110" i="1"/>
  <c r="BX110" i="1"/>
  <c r="BU110" i="1"/>
  <c r="BM110" i="1"/>
  <c r="BE110" i="1"/>
  <c r="CA110" i="1"/>
  <c r="BN110" i="1"/>
  <c r="BW110" i="1"/>
  <c r="BL110" i="1"/>
  <c r="BV110" i="1"/>
  <c r="BK110" i="1"/>
  <c r="BT110" i="1"/>
  <c r="BJ110" i="1"/>
  <c r="BR110" i="1"/>
  <c r="BG110" i="1"/>
  <c r="BO110" i="1"/>
  <c r="BH110" i="1"/>
  <c r="BF110" i="1"/>
  <c r="BS110" i="1"/>
  <c r="BP110" i="1"/>
  <c r="CH118" i="1"/>
  <c r="BZ118" i="1"/>
  <c r="BR118" i="1"/>
  <c r="BJ118" i="1"/>
  <c r="CG118" i="1"/>
  <c r="BY118" i="1"/>
  <c r="BQ118" i="1"/>
  <c r="BI118" i="1"/>
  <c r="CF118" i="1"/>
  <c r="BX118" i="1"/>
  <c r="BP118" i="1"/>
  <c r="BH118" i="1"/>
  <c r="CC118" i="1"/>
  <c r="BU118" i="1"/>
  <c r="BM118" i="1"/>
  <c r="BE118" i="1"/>
  <c r="CI118" i="1"/>
  <c r="BS118" i="1"/>
  <c r="CE118" i="1"/>
  <c r="BO118" i="1"/>
  <c r="CD118" i="1"/>
  <c r="BN118" i="1"/>
  <c r="CB118" i="1"/>
  <c r="BL118" i="1"/>
  <c r="BW118" i="1"/>
  <c r="BG118" i="1"/>
  <c r="CA118" i="1"/>
  <c r="BV118" i="1"/>
  <c r="BT118" i="1"/>
  <c r="BK118" i="1"/>
  <c r="BF118" i="1"/>
  <c r="BN104" i="1"/>
  <c r="BF104" i="1"/>
  <c r="BU104" i="1"/>
  <c r="BM104" i="1"/>
  <c r="BE104" i="1"/>
  <c r="BT104" i="1"/>
  <c r="BL104" i="1"/>
  <c r="BS104" i="1"/>
  <c r="BK104" i="1"/>
  <c r="BQ104" i="1"/>
  <c r="BI104" i="1"/>
  <c r="BO104" i="1"/>
  <c r="BG104" i="1"/>
  <c r="BR104" i="1"/>
  <c r="BP104" i="1"/>
  <c r="BJ104" i="1"/>
  <c r="BH104" i="1"/>
  <c r="BK101" i="1"/>
  <c r="BR101" i="1"/>
  <c r="BJ101" i="1"/>
  <c r="BQ101" i="1"/>
  <c r="BI101" i="1"/>
  <c r="BP101" i="1"/>
  <c r="BH101" i="1"/>
  <c r="BN101" i="1"/>
  <c r="BF101" i="1"/>
  <c r="BM101" i="1"/>
  <c r="BO101" i="1"/>
  <c r="BE101" i="1"/>
  <c r="BL101" i="1"/>
  <c r="BG101" i="1"/>
  <c r="CG117" i="1"/>
  <c r="BY117" i="1"/>
  <c r="BQ117" i="1"/>
  <c r="BI117" i="1"/>
  <c r="CF117" i="1"/>
  <c r="BX117" i="1"/>
  <c r="BP117" i="1"/>
  <c r="BH117" i="1"/>
  <c r="CE117" i="1"/>
  <c r="BW117" i="1"/>
  <c r="BO117" i="1"/>
  <c r="BG117" i="1"/>
  <c r="CB117" i="1"/>
  <c r="BT117" i="1"/>
  <c r="BL117" i="1"/>
  <c r="BZ117" i="1"/>
  <c r="BJ117" i="1"/>
  <c r="BV117" i="1"/>
  <c r="BF117" i="1"/>
  <c r="BU117" i="1"/>
  <c r="BE117" i="1"/>
  <c r="BS117" i="1"/>
  <c r="CD117" i="1"/>
  <c r="BN117" i="1"/>
  <c r="CA117" i="1"/>
  <c r="BR117" i="1"/>
  <c r="BM117" i="1"/>
  <c r="CC117" i="1"/>
  <c r="BK117" i="1"/>
  <c r="CH117" i="1"/>
  <c r="BM103" i="1"/>
  <c r="BE103" i="1"/>
  <c r="BT103" i="1"/>
  <c r="BL103" i="1"/>
  <c r="BS103" i="1"/>
  <c r="BK103" i="1"/>
  <c r="BR103" i="1"/>
  <c r="BJ103" i="1"/>
  <c r="BP103" i="1"/>
  <c r="BH103" i="1"/>
  <c r="BI103" i="1"/>
  <c r="BG103" i="1"/>
  <c r="BF103" i="1"/>
  <c r="BN103" i="1"/>
  <c r="BQ103" i="1"/>
  <c r="BO103" i="1"/>
  <c r="CA111" i="1"/>
  <c r="BS111" i="1"/>
  <c r="BK111" i="1"/>
  <c r="BZ111" i="1"/>
  <c r="BR111" i="1"/>
  <c r="BJ111" i="1"/>
  <c r="BY111" i="1"/>
  <c r="BQ111" i="1"/>
  <c r="BI111" i="1"/>
  <c r="BV111" i="1"/>
  <c r="BN111" i="1"/>
  <c r="BF111" i="1"/>
  <c r="BT111" i="1"/>
  <c r="BP111" i="1"/>
  <c r="BO111" i="1"/>
  <c r="BM111" i="1"/>
  <c r="BX111" i="1"/>
  <c r="BH111" i="1"/>
  <c r="BW111" i="1"/>
  <c r="BU111" i="1"/>
  <c r="BL111" i="1"/>
  <c r="CB111" i="1"/>
  <c r="BG111" i="1"/>
  <c r="BE111" i="1"/>
  <c r="DM27" i="1"/>
  <c r="DD27" i="1"/>
  <c r="CP27" i="1"/>
  <c r="CC27" i="1"/>
  <c r="DQ27" i="1"/>
  <c r="DF27" i="1"/>
  <c r="CS27" i="1"/>
  <c r="CD27" i="1"/>
  <c r="DS27" i="1"/>
  <c r="DB27" i="1"/>
  <c r="CM27" i="1"/>
  <c r="BX27" i="1"/>
  <c r="DK27" i="1"/>
  <c r="CV27" i="1"/>
  <c r="CK27" i="1"/>
  <c r="BV27" i="1"/>
  <c r="DN27" i="1"/>
  <c r="DA27" i="1"/>
  <c r="CO27" i="1"/>
  <c r="BY27" i="1"/>
  <c r="DV27" i="1"/>
  <c r="DI27" i="1"/>
  <c r="CT27" i="1"/>
  <c r="CH27" i="1"/>
  <c r="DJ27" i="1"/>
  <c r="CW27" i="1"/>
  <c r="CJ27" i="1"/>
  <c r="BW27" i="1"/>
  <c r="DR27" i="1"/>
  <c r="CX27" i="1"/>
  <c r="CI27" i="1"/>
  <c r="DU27" i="1"/>
  <c r="CY27" i="1"/>
  <c r="CF27" i="1"/>
  <c r="DP27" i="1"/>
  <c r="DG27" i="1"/>
  <c r="CR27" i="1"/>
  <c r="CE27" i="1"/>
  <c r="DT27" i="1"/>
  <c r="DC27" i="1"/>
  <c r="CL27" i="1"/>
  <c r="CA27" i="1"/>
  <c r="DL27" i="1"/>
  <c r="DE27" i="1"/>
  <c r="CQ27" i="1"/>
  <c r="CB27" i="1"/>
  <c r="DO27" i="1"/>
  <c r="CZ27" i="1"/>
  <c r="CN27" i="1"/>
  <c r="BZ27" i="1"/>
  <c r="DW27" i="1"/>
  <c r="DH27" i="1"/>
  <c r="CU27" i="1"/>
  <c r="CG27" i="1"/>
  <c r="DK22" i="1"/>
  <c r="DH22" i="1"/>
  <c r="DE22" i="1"/>
  <c r="CQ22" i="1"/>
  <c r="CD22" i="1"/>
  <c r="CA22" i="1"/>
  <c r="BW22" i="1"/>
  <c r="BU22" i="1"/>
  <c r="BR22" i="1"/>
  <c r="DG22" i="1"/>
  <c r="DD22" i="1"/>
  <c r="CO22" i="1"/>
  <c r="CM22" i="1"/>
  <c r="DM22" i="1"/>
  <c r="CP22" i="1"/>
  <c r="CL22" i="1"/>
  <c r="DV22" i="1"/>
  <c r="DS22" i="1"/>
  <c r="DF22" i="1"/>
  <c r="DC22" i="1"/>
  <c r="CZ22" i="1"/>
  <c r="DU22" i="1"/>
  <c r="DB22" i="1"/>
  <c r="BS22" i="1"/>
  <c r="DP22" i="1"/>
  <c r="DN22" i="1"/>
  <c r="DJ22" i="1"/>
  <c r="CV22" i="1"/>
  <c r="CI22" i="1"/>
  <c r="CF22" i="1"/>
  <c r="CB22" i="1"/>
  <c r="DL22" i="1"/>
  <c r="CJ22" i="1"/>
  <c r="BT22" i="1"/>
  <c r="CY22" i="1"/>
  <c r="CW22" i="1"/>
  <c r="CS22" i="1"/>
  <c r="CT22" i="1"/>
  <c r="CG22" i="1"/>
  <c r="DW22" i="1"/>
  <c r="DT22" i="1"/>
  <c r="DQ22" i="1"/>
  <c r="BX22" i="1"/>
  <c r="BV22" i="1"/>
  <c r="DR22" i="1"/>
  <c r="DO22" i="1"/>
  <c r="DA22" i="1"/>
  <c r="CX22" i="1"/>
  <c r="BZ22" i="1"/>
  <c r="DI22" i="1"/>
  <c r="CU22" i="1"/>
  <c r="CR22" i="1"/>
  <c r="CN22" i="1"/>
  <c r="CK22" i="1"/>
  <c r="CH22" i="1"/>
  <c r="CE22" i="1"/>
  <c r="BQ22" i="1"/>
  <c r="CC22" i="1"/>
  <c r="BY22" i="1"/>
  <c r="DH34" i="1"/>
  <c r="CO34" i="1"/>
  <c r="CK34" i="1"/>
  <c r="CE34" i="1"/>
  <c r="DP34" i="1"/>
  <c r="DB34" i="1"/>
  <c r="CM34" i="1"/>
  <c r="DR34" i="1"/>
  <c r="DG34" i="1"/>
  <c r="DC34" i="1"/>
  <c r="CY34" i="1"/>
  <c r="CI34" i="1"/>
  <c r="DA34" i="1"/>
  <c r="CW34" i="1"/>
  <c r="CG34" i="1"/>
  <c r="DD34" i="1"/>
  <c r="CH34" i="1"/>
  <c r="CC34" i="1"/>
  <c r="DK34" i="1"/>
  <c r="DV34" i="1"/>
  <c r="CT34" i="1"/>
  <c r="CP34" i="1"/>
  <c r="CD34" i="1"/>
  <c r="DM34" i="1"/>
  <c r="DI34" i="1"/>
  <c r="DE34" i="1"/>
  <c r="CS34" i="1"/>
  <c r="CX34" i="1"/>
  <c r="DN34" i="1"/>
  <c r="DJ34" i="1"/>
  <c r="DF34" i="1"/>
  <c r="CJ34" i="1"/>
  <c r="CF34" i="1"/>
  <c r="DT34" i="1"/>
  <c r="CN34" i="1"/>
  <c r="DW34" i="1"/>
  <c r="DS34" i="1"/>
  <c r="DO34" i="1"/>
  <c r="CU34" i="1"/>
  <c r="CQ34" i="1"/>
  <c r="DU34" i="1"/>
  <c r="DQ34" i="1"/>
  <c r="DL34" i="1"/>
  <c r="CZ34" i="1"/>
  <c r="CV34" i="1"/>
  <c r="CR34" i="1"/>
  <c r="CL34" i="1"/>
  <c r="DW23" i="1"/>
  <c r="DT23" i="1"/>
  <c r="DQ23" i="1"/>
  <c r="BV23" i="1"/>
  <c r="BS23" i="1"/>
  <c r="DU23" i="1"/>
  <c r="DG23" i="1"/>
  <c r="BY23" i="1"/>
  <c r="DP23" i="1"/>
  <c r="DL23" i="1"/>
  <c r="BT23" i="1"/>
  <c r="DS23" i="1"/>
  <c r="CS23" i="1"/>
  <c r="CP23" i="1"/>
  <c r="CM23" i="1"/>
  <c r="CJ23" i="1"/>
  <c r="CG23" i="1"/>
  <c r="CC23" i="1"/>
  <c r="DO23" i="1"/>
  <c r="DK23" i="1"/>
  <c r="DH23" i="1"/>
  <c r="DD23" i="1"/>
  <c r="BW23" i="1"/>
  <c r="BU23" i="1"/>
  <c r="DV23" i="1"/>
  <c r="DI23" i="1"/>
  <c r="DF23" i="1"/>
  <c r="DC23" i="1"/>
  <c r="CN23" i="1"/>
  <c r="CK23" i="1"/>
  <c r="CI23" i="1"/>
  <c r="CD23" i="1"/>
  <c r="CA23" i="1"/>
  <c r="BX23" i="1"/>
  <c r="DM23" i="1"/>
  <c r="CV23" i="1"/>
  <c r="DR23" i="1"/>
  <c r="DE23" i="1"/>
  <c r="DA23" i="1"/>
  <c r="BR23" i="1"/>
  <c r="DJ23" i="1"/>
  <c r="CU23" i="1"/>
  <c r="CQ23" i="1"/>
  <c r="CY23" i="1"/>
  <c r="CL23" i="1"/>
  <c r="CH23" i="1"/>
  <c r="CE23" i="1"/>
  <c r="DN23" i="1"/>
  <c r="CZ23" i="1"/>
  <c r="CW23" i="1"/>
  <c r="CT23" i="1"/>
  <c r="CR23" i="1"/>
  <c r="CO23" i="1"/>
  <c r="BZ23" i="1"/>
  <c r="DB23" i="1"/>
  <c r="CX23" i="1"/>
  <c r="CF23" i="1"/>
  <c r="CB23" i="1"/>
  <c r="CP35" i="1"/>
  <c r="CL35" i="1"/>
  <c r="DE35" i="1"/>
  <c r="CR35" i="1"/>
  <c r="CJ35" i="1"/>
  <c r="CW35" i="1"/>
  <c r="CT35" i="1"/>
  <c r="CX35" i="1"/>
  <c r="CK35" i="1"/>
  <c r="CG35" i="1"/>
  <c r="DH35" i="1"/>
  <c r="DA35" i="1"/>
  <c r="CF35" i="1"/>
  <c r="DT35" i="1"/>
  <c r="DF35" i="1"/>
  <c r="DB35" i="1"/>
  <c r="DV35" i="1"/>
  <c r="DI35" i="1"/>
  <c r="DD35" i="1"/>
  <c r="CZ35" i="1"/>
  <c r="CM35" i="1"/>
  <c r="CI35" i="1"/>
  <c r="DW35" i="1"/>
  <c r="DU35" i="1"/>
  <c r="DG35" i="1"/>
  <c r="CV35" i="1"/>
  <c r="CS35" i="1"/>
  <c r="DS35" i="1"/>
  <c r="DR35" i="1"/>
  <c r="DQ35" i="1"/>
  <c r="CO35" i="1"/>
  <c r="DP35" i="1"/>
  <c r="DC35" i="1"/>
  <c r="CY35" i="1"/>
  <c r="CU35" i="1"/>
  <c r="CQ35" i="1"/>
  <c r="CN35" i="1"/>
  <c r="CH35" i="1"/>
  <c r="CD35" i="1"/>
  <c r="DO35" i="1"/>
  <c r="DK35" i="1"/>
  <c r="DN35" i="1"/>
  <c r="DM35" i="1"/>
  <c r="DL35" i="1"/>
  <c r="DJ35" i="1"/>
  <c r="CE35" i="1"/>
  <c r="DR24" i="1"/>
  <c r="DQ24" i="1"/>
  <c r="DP24" i="1"/>
  <c r="DO24" i="1"/>
  <c r="DC24" i="1"/>
  <c r="DB24" i="1"/>
  <c r="CM24" i="1"/>
  <c r="CI24" i="1"/>
  <c r="CF24" i="1"/>
  <c r="CZ24" i="1"/>
  <c r="CX24" i="1"/>
  <c r="CS24" i="1"/>
  <c r="CP24" i="1"/>
  <c r="CC24" i="1"/>
  <c r="BY24" i="1"/>
  <c r="CY24" i="1"/>
  <c r="CB24" i="1"/>
  <c r="DN24" i="1"/>
  <c r="BV24" i="1"/>
  <c r="DM24" i="1"/>
  <c r="CW24" i="1"/>
  <c r="CT24" i="1"/>
  <c r="CG24" i="1"/>
  <c r="DL24" i="1"/>
  <c r="CE24" i="1"/>
  <c r="DK24" i="1"/>
  <c r="DJ24" i="1"/>
  <c r="DG24" i="1"/>
  <c r="CV24" i="1"/>
  <c r="DA24" i="1"/>
  <c r="CU24" i="1"/>
  <c r="CR24" i="1"/>
  <c r="CN24" i="1"/>
  <c r="CK24" i="1"/>
  <c r="CH24" i="1"/>
  <c r="CD24" i="1"/>
  <c r="BZ24" i="1"/>
  <c r="DI24" i="1"/>
  <c r="DH24" i="1"/>
  <c r="BS24" i="1"/>
  <c r="CQ24" i="1"/>
  <c r="CL24" i="1"/>
  <c r="BX24" i="1"/>
  <c r="BU24" i="1"/>
  <c r="DF24" i="1"/>
  <c r="CO24" i="1"/>
  <c r="CJ24" i="1"/>
  <c r="BW24" i="1"/>
  <c r="BT24" i="1"/>
  <c r="DE24" i="1"/>
  <c r="DD24" i="1"/>
  <c r="CA24" i="1"/>
  <c r="DT24" i="1"/>
  <c r="DV24" i="1"/>
  <c r="DW24" i="1"/>
  <c r="DS24" i="1"/>
  <c r="DU24" i="1"/>
  <c r="DN29" i="1"/>
  <c r="DC29" i="1"/>
  <c r="CR29" i="1"/>
  <c r="CC29" i="1"/>
  <c r="DT29" i="1"/>
  <c r="DJ29" i="1"/>
  <c r="CW29" i="1"/>
  <c r="CM29" i="1"/>
  <c r="BX29" i="1"/>
  <c r="DL29" i="1"/>
  <c r="CU29" i="1"/>
  <c r="CH29" i="1"/>
  <c r="DS29" i="1"/>
  <c r="DG29" i="1"/>
  <c r="CP29" i="1"/>
  <c r="CA29" i="1"/>
  <c r="DW29" i="1"/>
  <c r="DD29" i="1"/>
  <c r="CT29" i="1"/>
  <c r="CF29" i="1"/>
  <c r="DO29" i="1"/>
  <c r="CY29" i="1"/>
  <c r="CK29" i="1"/>
  <c r="DR29" i="1"/>
  <c r="DF29" i="1"/>
  <c r="CO29" i="1"/>
  <c r="CB29" i="1"/>
  <c r="DQ29" i="1"/>
  <c r="DA29" i="1"/>
  <c r="CI29" i="1"/>
  <c r="DH29" i="1"/>
  <c r="CN29" i="1"/>
  <c r="BZ29" i="1"/>
  <c r="DU29" i="1"/>
  <c r="DI29" i="1"/>
  <c r="CX29" i="1"/>
  <c r="CL29" i="1"/>
  <c r="BY29" i="1"/>
  <c r="DK29" i="1"/>
  <c r="CV29" i="1"/>
  <c r="CG29" i="1"/>
  <c r="DP29" i="1"/>
  <c r="DB29" i="1"/>
  <c r="CQ29" i="1"/>
  <c r="CD29" i="1"/>
  <c r="DV29" i="1"/>
  <c r="DE29" i="1"/>
  <c r="CS29" i="1"/>
  <c r="CE29" i="1"/>
  <c r="DM29" i="1"/>
  <c r="CZ29" i="1"/>
  <c r="CJ29" i="1"/>
  <c r="DT32" i="1"/>
  <c r="DP32" i="1"/>
  <c r="DL32" i="1"/>
  <c r="CL32" i="1"/>
  <c r="CB32" i="1"/>
  <c r="DK32" i="1"/>
  <c r="DF32" i="1"/>
  <c r="CZ32" i="1"/>
  <c r="DB32" i="1"/>
  <c r="CX32" i="1"/>
  <c r="CK32" i="1"/>
  <c r="CG32" i="1"/>
  <c r="DW32" i="1"/>
  <c r="DR32" i="1"/>
  <c r="DD32" i="1"/>
  <c r="CY32" i="1"/>
  <c r="CT32" i="1"/>
  <c r="CN32" i="1"/>
  <c r="DU32" i="1"/>
  <c r="DG32" i="1"/>
  <c r="CR32" i="1"/>
  <c r="CE32" i="1"/>
  <c r="CA32" i="1"/>
  <c r="DS32" i="1"/>
  <c r="DN32" i="1"/>
  <c r="DJ32" i="1"/>
  <c r="CU32" i="1"/>
  <c r="CH32" i="1"/>
  <c r="DH32" i="1"/>
  <c r="DC32" i="1"/>
  <c r="DO32" i="1"/>
  <c r="CV32" i="1"/>
  <c r="CJ32" i="1"/>
  <c r="CF32" i="1"/>
  <c r="CC32" i="1"/>
  <c r="DM32" i="1"/>
  <c r="CO32" i="1"/>
  <c r="DV32" i="1"/>
  <c r="DI32" i="1"/>
  <c r="CQ32" i="1"/>
  <c r="CM32" i="1"/>
  <c r="CI32" i="1"/>
  <c r="CP32" i="1"/>
  <c r="CD32" i="1"/>
  <c r="DQ32" i="1"/>
  <c r="DE32" i="1"/>
  <c r="DA32" i="1"/>
  <c r="CW32" i="1"/>
  <c r="CS32" i="1"/>
  <c r="DM36" i="1"/>
  <c r="DL36" i="1"/>
  <c r="DK36" i="1"/>
  <c r="DJ36" i="1"/>
  <c r="DG36" i="1"/>
  <c r="CK36" i="1"/>
  <c r="DI36" i="1"/>
  <c r="DH36" i="1"/>
  <c r="DF36" i="1"/>
  <c r="CX36" i="1"/>
  <c r="CL36" i="1"/>
  <c r="DE36" i="1"/>
  <c r="DB36" i="1"/>
  <c r="CZ36" i="1"/>
  <c r="CW36" i="1"/>
  <c r="DD36" i="1"/>
  <c r="DC36" i="1"/>
  <c r="DA36" i="1"/>
  <c r="CY36" i="1"/>
  <c r="CR36" i="1"/>
  <c r="CV36" i="1"/>
  <c r="CU36" i="1"/>
  <c r="CT36" i="1"/>
  <c r="CS36" i="1"/>
  <c r="CQ36" i="1"/>
  <c r="CP36" i="1"/>
  <c r="CO36" i="1"/>
  <c r="CN36" i="1"/>
  <c r="CM36" i="1"/>
  <c r="CJ36" i="1"/>
  <c r="CI36" i="1"/>
  <c r="CH36" i="1"/>
  <c r="CG36" i="1"/>
  <c r="CF36" i="1"/>
  <c r="CE36" i="1"/>
  <c r="DU36" i="1"/>
  <c r="DP36" i="1"/>
  <c r="DW36" i="1"/>
  <c r="DS36" i="1"/>
  <c r="DV36" i="1"/>
  <c r="DO36" i="1"/>
  <c r="DN36" i="1"/>
  <c r="DQ36" i="1"/>
  <c r="DT36" i="1"/>
  <c r="DR36" i="1"/>
  <c r="DP26" i="1"/>
  <c r="DB26" i="1"/>
  <c r="CH26" i="1"/>
  <c r="DU26" i="1"/>
  <c r="DH26" i="1"/>
  <c r="CU26" i="1"/>
  <c r="CK26" i="1"/>
  <c r="DO26" i="1"/>
  <c r="DA26" i="1"/>
  <c r="CN26" i="1"/>
  <c r="BY26" i="1"/>
  <c r="DM26" i="1"/>
  <c r="CV26" i="1"/>
  <c r="CM26" i="1"/>
  <c r="BZ26" i="1"/>
  <c r="DK26" i="1"/>
  <c r="CX26" i="1"/>
  <c r="CJ26" i="1"/>
  <c r="BW26" i="1"/>
  <c r="DR26" i="1"/>
  <c r="DG26" i="1"/>
  <c r="CT26" i="1"/>
  <c r="CC26" i="1"/>
  <c r="DL26" i="1"/>
  <c r="CW26" i="1"/>
  <c r="CL26" i="1"/>
  <c r="CA26" i="1"/>
  <c r="DW26" i="1"/>
  <c r="DI26" i="1"/>
  <c r="CR26" i="1"/>
  <c r="CD26" i="1"/>
  <c r="DT26" i="1"/>
  <c r="DE26" i="1"/>
  <c r="CP26" i="1"/>
  <c r="CB26" i="1"/>
  <c r="DV26" i="1"/>
  <c r="DD26" i="1"/>
  <c r="CQ26" i="1"/>
  <c r="CF26" i="1"/>
  <c r="DN26" i="1"/>
  <c r="CZ26" i="1"/>
  <c r="CO26" i="1"/>
  <c r="BX26" i="1"/>
  <c r="DQ26" i="1"/>
  <c r="DC26" i="1"/>
  <c r="CG26" i="1"/>
  <c r="BU26" i="1"/>
  <c r="BU103" i="1" s="1"/>
  <c r="DJ26" i="1"/>
  <c r="CY26" i="1"/>
  <c r="CI26" i="1"/>
  <c r="BV26" i="1"/>
  <c r="DS26" i="1"/>
  <c r="DF26" i="1"/>
  <c r="CS26" i="1"/>
  <c r="CE26" i="1"/>
  <c r="DV30" i="1"/>
  <c r="DR30" i="1"/>
  <c r="DS30" i="1"/>
  <c r="DW30" i="1"/>
  <c r="DT30" i="1"/>
  <c r="DN30" i="1"/>
  <c r="DJ30" i="1"/>
  <c r="DF30" i="1"/>
  <c r="DC30" i="1"/>
  <c r="DI30" i="1"/>
  <c r="DE30" i="1"/>
  <c r="CZ30" i="1"/>
  <c r="DB30" i="1"/>
  <c r="CX30" i="1"/>
  <c r="DO30" i="1"/>
  <c r="DD30" i="1"/>
  <c r="DU30" i="1"/>
  <c r="DK30" i="1"/>
  <c r="DG30" i="1"/>
  <c r="DQ30" i="1"/>
  <c r="CY30" i="1"/>
  <c r="DL30" i="1"/>
  <c r="DH30" i="1"/>
  <c r="DP30" i="1"/>
  <c r="DM30" i="1"/>
  <c r="DA30" i="1"/>
  <c r="CW30" i="1"/>
  <c r="CO30" i="1"/>
  <c r="CB30" i="1"/>
  <c r="CU30" i="1"/>
  <c r="CI30" i="1"/>
  <c r="CL30" i="1"/>
  <c r="BY30" i="1"/>
  <c r="CQ30" i="1"/>
  <c r="CG30" i="1"/>
  <c r="CM30" i="1"/>
  <c r="CT30" i="1"/>
  <c r="CD30" i="1"/>
  <c r="CR30" i="1"/>
  <c r="CF30" i="1"/>
  <c r="CJ30" i="1"/>
  <c r="CC30" i="1"/>
  <c r="CV30" i="1"/>
  <c r="CH30" i="1"/>
  <c r="CK30" i="1"/>
  <c r="BZ30" i="1"/>
  <c r="CP30" i="1"/>
  <c r="CA30" i="1"/>
  <c r="CN30" i="1"/>
  <c r="CS30" i="1"/>
  <c r="CE30" i="1"/>
  <c r="CZ33" i="1"/>
  <c r="CV33" i="1"/>
  <c r="CB33" i="1"/>
  <c r="DT33" i="1"/>
  <c r="DO33" i="1"/>
  <c r="DJ33" i="1"/>
  <c r="CD33" i="1"/>
  <c r="DP33" i="1"/>
  <c r="DL33" i="1"/>
  <c r="DH33" i="1"/>
  <c r="DB33" i="1"/>
  <c r="CW33" i="1"/>
  <c r="DR33" i="1"/>
  <c r="DF33" i="1"/>
  <c r="CT33" i="1"/>
  <c r="CH33" i="1"/>
  <c r="DS33" i="1"/>
  <c r="CK33" i="1"/>
  <c r="CF33" i="1"/>
  <c r="DV33" i="1"/>
  <c r="CP33" i="1"/>
  <c r="DU33" i="1"/>
  <c r="DQ33" i="1"/>
  <c r="CN33" i="1"/>
  <c r="CI33" i="1"/>
  <c r="DM33" i="1"/>
  <c r="DI33" i="1"/>
  <c r="DE33" i="1"/>
  <c r="DA33" i="1"/>
  <c r="CG33" i="1"/>
  <c r="CX33" i="1"/>
  <c r="CR33" i="1"/>
  <c r="CE33" i="1"/>
  <c r="DW33" i="1"/>
  <c r="CJ33" i="1"/>
  <c r="DN33" i="1"/>
  <c r="CL33" i="1"/>
  <c r="DK33" i="1"/>
  <c r="DG33" i="1"/>
  <c r="DC33" i="1"/>
  <c r="CY33" i="1"/>
  <c r="CU33" i="1"/>
  <c r="CQ33" i="1"/>
  <c r="CM33" i="1"/>
  <c r="CC33" i="1"/>
  <c r="DD33" i="1"/>
  <c r="CS33" i="1"/>
  <c r="CO33" i="1"/>
  <c r="DM37" i="1"/>
  <c r="CZ37" i="1"/>
  <c r="CM37" i="1"/>
  <c r="DQ37" i="1"/>
  <c r="DB37" i="1"/>
  <c r="CU37" i="1"/>
  <c r="CG37" i="1"/>
  <c r="DO37" i="1"/>
  <c r="CX37" i="1"/>
  <c r="CK37" i="1"/>
  <c r="DR37" i="1"/>
  <c r="DG37" i="1"/>
  <c r="CR37" i="1"/>
  <c r="DT37" i="1"/>
  <c r="DE37" i="1"/>
  <c r="CN37" i="1"/>
  <c r="DW37" i="1"/>
  <c r="DH37" i="1"/>
  <c r="CW37" i="1"/>
  <c r="CH37" i="1"/>
  <c r="DS37" i="1"/>
  <c r="DF37" i="1"/>
  <c r="CS37" i="1"/>
  <c r="DJ37" i="1"/>
  <c r="CP37" i="1"/>
  <c r="DK37" i="1"/>
  <c r="CQ37" i="1"/>
  <c r="DP37" i="1"/>
  <c r="DC37" i="1"/>
  <c r="CT37" i="1"/>
  <c r="CF37" i="1"/>
  <c r="DN37" i="1"/>
  <c r="CY37" i="1"/>
  <c r="CJ37" i="1"/>
  <c r="DL37" i="1"/>
  <c r="DA37" i="1"/>
  <c r="CL37" i="1"/>
  <c r="DU37" i="1"/>
  <c r="DD37" i="1"/>
  <c r="CO37" i="1"/>
  <c r="DV37" i="1"/>
  <c r="DI37" i="1"/>
  <c r="CV37" i="1"/>
  <c r="CI37" i="1"/>
  <c r="DW25" i="1"/>
  <c r="DN25" i="1"/>
  <c r="DA25" i="1"/>
  <c r="CM25" i="1"/>
  <c r="CE25" i="1"/>
  <c r="DV25" i="1"/>
  <c r="DK25" i="1"/>
  <c r="CU25" i="1"/>
  <c r="CG25" i="1"/>
  <c r="BT25" i="1"/>
  <c r="DJ25" i="1"/>
  <c r="CP25" i="1"/>
  <c r="BZ25" i="1"/>
  <c r="DT25" i="1"/>
  <c r="DF25" i="1"/>
  <c r="CS25" i="1"/>
  <c r="BY25" i="1"/>
  <c r="DG25" i="1"/>
  <c r="CX25" i="1"/>
  <c r="CI25" i="1"/>
  <c r="BW25" i="1"/>
  <c r="DQ25" i="1"/>
  <c r="DC25" i="1"/>
  <c r="CN25" i="1"/>
  <c r="CD25" i="1"/>
  <c r="DS25" i="1"/>
  <c r="DE25" i="1"/>
  <c r="CR25" i="1"/>
  <c r="BX25" i="1"/>
  <c r="DR25" i="1"/>
  <c r="DD25" i="1"/>
  <c r="CQ25" i="1"/>
  <c r="CB25" i="1"/>
  <c r="DO25" i="1"/>
  <c r="CY25" i="1"/>
  <c r="CK25" i="1"/>
  <c r="BU25" i="1"/>
  <c r="DU25" i="1"/>
  <c r="DI25" i="1"/>
  <c r="CT25" i="1"/>
  <c r="CH25" i="1"/>
  <c r="DL25" i="1"/>
  <c r="CV25" i="1"/>
  <c r="CA25" i="1"/>
  <c r="DM25" i="1"/>
  <c r="CZ25" i="1"/>
  <c r="CL25" i="1"/>
  <c r="CF25" i="1"/>
  <c r="DH25" i="1"/>
  <c r="CW25" i="1"/>
  <c r="CJ25" i="1"/>
  <c r="BV25" i="1"/>
  <c r="DP25" i="1"/>
  <c r="DB25" i="1"/>
  <c r="CO25" i="1"/>
  <c r="CC25" i="1"/>
  <c r="DS28" i="1"/>
  <c r="DE28" i="1"/>
  <c r="CR28" i="1"/>
  <c r="CC28" i="1"/>
  <c r="DL28" i="1"/>
  <c r="CX28" i="1"/>
  <c r="CO28" i="1"/>
  <c r="CA28" i="1"/>
  <c r="DT28" i="1"/>
  <c r="DH28" i="1"/>
  <c r="CS28" i="1"/>
  <c r="CE28" i="1"/>
  <c r="DQ28" i="1"/>
  <c r="DB28" i="1"/>
  <c r="CM28" i="1"/>
  <c r="BW28" i="1"/>
  <c r="BW105" i="1" s="1"/>
  <c r="DM28" i="1"/>
  <c r="DC28" i="1"/>
  <c r="CL28" i="1"/>
  <c r="BZ28" i="1"/>
  <c r="DV28" i="1"/>
  <c r="DJ28" i="1"/>
  <c r="CU28" i="1"/>
  <c r="CH28" i="1"/>
  <c r="DP28" i="1"/>
  <c r="DD28" i="1"/>
  <c r="CK28" i="1"/>
  <c r="BX28" i="1"/>
  <c r="DO28" i="1"/>
  <c r="CY28" i="1"/>
  <c r="CI28" i="1"/>
  <c r="CZ28" i="1"/>
  <c r="CJ28" i="1"/>
  <c r="DK28" i="1"/>
  <c r="CW28" i="1"/>
  <c r="CP28" i="1"/>
  <c r="CB28" i="1"/>
  <c r="DU28" i="1"/>
  <c r="DG28" i="1"/>
  <c r="CT28" i="1"/>
  <c r="CD28" i="1"/>
  <c r="DR28" i="1"/>
  <c r="DF28" i="1"/>
  <c r="CQ28" i="1"/>
  <c r="CF28" i="1"/>
  <c r="DN28" i="1"/>
  <c r="DA28" i="1"/>
  <c r="CN28" i="1"/>
  <c r="BY28" i="1"/>
  <c r="DW28" i="1"/>
  <c r="DI28" i="1"/>
  <c r="CV28" i="1"/>
  <c r="CG28" i="1"/>
  <c r="DF31" i="1"/>
  <c r="CU31" i="1"/>
  <c r="CI31" i="1"/>
  <c r="DP31" i="1"/>
  <c r="DL31" i="1"/>
  <c r="DG31" i="1"/>
  <c r="CZ31" i="1"/>
  <c r="CF31" i="1"/>
  <c r="CC31" i="1"/>
  <c r="DQ31" i="1"/>
  <c r="DC31" i="1"/>
  <c r="CV31" i="1"/>
  <c r="DK31" i="1"/>
  <c r="CP31" i="1"/>
  <c r="DT31" i="1"/>
  <c r="DI31" i="1"/>
  <c r="DD31" i="1"/>
  <c r="CT31" i="1"/>
  <c r="CG31" i="1"/>
  <c r="DW31" i="1"/>
  <c r="DS31" i="1"/>
  <c r="DH31" i="1"/>
  <c r="CW31" i="1"/>
  <c r="CL31" i="1"/>
  <c r="CH31" i="1"/>
  <c r="CA31" i="1"/>
  <c r="DU31" i="1"/>
  <c r="DO31" i="1"/>
  <c r="DE31" i="1"/>
  <c r="DA31" i="1"/>
  <c r="CQ31" i="1"/>
  <c r="CM31" i="1"/>
  <c r="CB31" i="1"/>
  <c r="DB31" i="1"/>
  <c r="CX31" i="1"/>
  <c r="CS31" i="1"/>
  <c r="CO31" i="1"/>
  <c r="CK31" i="1"/>
  <c r="DM31" i="1"/>
  <c r="DJ31" i="1"/>
  <c r="CY31" i="1"/>
  <c r="CN31" i="1"/>
  <c r="CJ31" i="1"/>
  <c r="CE31" i="1"/>
  <c r="DV31" i="1"/>
  <c r="DR31" i="1"/>
  <c r="DN31" i="1"/>
  <c r="CD31" i="1"/>
  <c r="BZ31" i="1"/>
  <c r="CR31" i="1"/>
  <c r="DW38" i="1"/>
  <c r="DI38" i="1"/>
  <c r="CU38" i="1"/>
  <c r="CI38" i="1"/>
  <c r="DL38" i="1"/>
  <c r="CW38" i="1"/>
  <c r="CK38" i="1"/>
  <c r="DO38" i="1"/>
  <c r="DC38" i="1"/>
  <c r="CL38" i="1"/>
  <c r="DM38" i="1"/>
  <c r="DA38" i="1"/>
  <c r="CN38" i="1"/>
  <c r="DS38" i="1"/>
  <c r="DD38" i="1"/>
  <c r="CR38" i="1"/>
  <c r="DU38" i="1"/>
  <c r="DG38" i="1"/>
  <c r="CS38" i="1"/>
  <c r="DN38" i="1"/>
  <c r="CZ38" i="1"/>
  <c r="CO38" i="1"/>
  <c r="DP38" i="1"/>
  <c r="CY38" i="1"/>
  <c r="CG38" i="1"/>
  <c r="DH38" i="1"/>
  <c r="CP38" i="1"/>
  <c r="DK38" i="1"/>
  <c r="CX38" i="1"/>
  <c r="CJ38" i="1"/>
  <c r="DQ38" i="1"/>
  <c r="DB38" i="1"/>
  <c r="CM38" i="1"/>
  <c r="DV38" i="1"/>
  <c r="DJ38" i="1"/>
  <c r="CV38" i="1"/>
  <c r="CH38" i="1"/>
  <c r="DR38" i="1"/>
  <c r="DE38" i="1"/>
  <c r="CQ38" i="1"/>
  <c r="DT38" i="1"/>
  <c r="DF38" i="1"/>
  <c r="CT38" i="1"/>
  <c r="DP39" i="1"/>
  <c r="DD39" i="1"/>
  <c r="CV39" i="1"/>
  <c r="DV39" i="1"/>
  <c r="DO39" i="1"/>
  <c r="DA39" i="1"/>
  <c r="CU39" i="1"/>
  <c r="CH39" i="1"/>
  <c r="DI39" i="1"/>
  <c r="CN39" i="1"/>
  <c r="DT39" i="1"/>
  <c r="DG39" i="1"/>
  <c r="CX39" i="1"/>
  <c r="CK39" i="1"/>
  <c r="DH39" i="1"/>
  <c r="CO39" i="1"/>
  <c r="DL39" i="1"/>
  <c r="CQ39" i="1"/>
  <c r="DU39" i="1"/>
  <c r="DF39" i="1"/>
  <c r="CY39" i="1"/>
  <c r="CJ39" i="1"/>
  <c r="DS39" i="1"/>
  <c r="DE39" i="1"/>
  <c r="CS39" i="1"/>
  <c r="DR39" i="1"/>
  <c r="CZ39" i="1"/>
  <c r="CL39" i="1"/>
  <c r="DW39" i="1"/>
  <c r="DN39" i="1"/>
  <c r="DB39" i="1"/>
  <c r="CT39" i="1"/>
  <c r="CI39" i="1"/>
  <c r="DK39" i="1"/>
  <c r="CM39" i="1"/>
  <c r="DQ39" i="1"/>
  <c r="DC39" i="1"/>
  <c r="CW39" i="1"/>
  <c r="DJ39" i="1"/>
  <c r="CP39" i="1"/>
  <c r="DM39" i="1"/>
  <c r="CR39" i="1"/>
  <c r="CW40" i="1"/>
  <c r="CT40" i="1"/>
  <c r="CN40" i="1"/>
  <c r="CI40" i="1"/>
  <c r="DQ40" i="1"/>
  <c r="DN40" i="1"/>
  <c r="DJ40" i="1"/>
  <c r="DF40" i="1"/>
  <c r="DC40" i="1"/>
  <c r="CZ40" i="1"/>
  <c r="CR40" i="1"/>
  <c r="CP40" i="1"/>
  <c r="DW40" i="1"/>
  <c r="DT40" i="1"/>
  <c r="DP40" i="1"/>
  <c r="DL40" i="1"/>
  <c r="DG40" i="1"/>
  <c r="DB40" i="1"/>
  <c r="CV40" i="1"/>
  <c r="CL40" i="1"/>
  <c r="DV40" i="1"/>
  <c r="DR40" i="1"/>
  <c r="DM40" i="1"/>
  <c r="DI40" i="1"/>
  <c r="DD40" i="1"/>
  <c r="CY40" i="1"/>
  <c r="CQ40" i="1"/>
  <c r="CK40" i="1"/>
  <c r="DU40" i="1"/>
  <c r="DS40" i="1"/>
  <c r="DO40" i="1"/>
  <c r="DK40" i="1"/>
  <c r="DH40" i="1"/>
  <c r="DE40" i="1"/>
  <c r="DA40" i="1"/>
  <c r="CU40" i="1"/>
  <c r="CM40" i="1"/>
  <c r="CX40" i="1"/>
  <c r="CS40" i="1"/>
  <c r="CO40" i="1"/>
  <c r="CJ40" i="1"/>
  <c r="DS41" i="1"/>
  <c r="DD41" i="1"/>
  <c r="DL41" i="1"/>
  <c r="CV41" i="1"/>
  <c r="DP41" i="1"/>
  <c r="DC41" i="1"/>
  <c r="DT41" i="1"/>
  <c r="DE41" i="1"/>
  <c r="DV41" i="1"/>
  <c r="DK41" i="1"/>
  <c r="CZ41" i="1"/>
  <c r="DI41" i="1"/>
  <c r="CW41" i="1"/>
  <c r="DQ41" i="1"/>
  <c r="DW41" i="1"/>
  <c r="DH41" i="1"/>
  <c r="DU41" i="1"/>
  <c r="DF41" i="1"/>
  <c r="DR41" i="1"/>
  <c r="DG41" i="1"/>
  <c r="CU41" i="1"/>
  <c r="DN41" i="1"/>
  <c r="DB41" i="1"/>
  <c r="DJ41" i="1"/>
  <c r="CX41" i="1"/>
  <c r="DM41" i="1"/>
  <c r="DA41" i="1"/>
  <c r="DO41" i="1"/>
  <c r="CY41" i="1"/>
  <c r="CT41" i="1"/>
  <c r="CS41" i="1"/>
  <c r="CR41" i="1"/>
  <c r="CQ41" i="1"/>
  <c r="CP41" i="1"/>
  <c r="CO41" i="1"/>
  <c r="CN41" i="1"/>
  <c r="CM41" i="1"/>
  <c r="CL41" i="1"/>
  <c r="CK41" i="1"/>
  <c r="CJ41" i="1"/>
  <c r="EB33" i="1"/>
  <c r="AL33" i="1"/>
  <c r="EB37" i="1"/>
  <c r="AL37" i="1"/>
  <c r="EB34" i="1"/>
  <c r="AL34" i="1"/>
  <c r="EB32" i="1"/>
  <c r="AL32" i="1"/>
  <c r="EB39" i="1"/>
  <c r="AL39" i="1"/>
  <c r="EB41" i="1"/>
  <c r="AL41" i="1"/>
  <c r="EB28" i="1"/>
  <c r="AL28" i="1"/>
  <c r="EB36" i="1"/>
  <c r="AL36" i="1"/>
  <c r="EB40" i="1"/>
  <c r="AL40" i="1"/>
  <c r="EB29" i="1"/>
  <c r="AL29" i="1"/>
  <c r="AL30" i="1"/>
  <c r="EB30" i="1"/>
  <c r="EB35" i="1"/>
  <c r="AL35" i="1"/>
  <c r="EB38" i="1"/>
  <c r="AL38" i="1"/>
  <c r="AL31" i="1"/>
  <c r="EB31" i="1"/>
  <c r="S32" i="1"/>
  <c r="S40" i="1"/>
  <c r="S31" i="1"/>
  <c r="S34" i="1"/>
  <c r="S39" i="1"/>
  <c r="S41" i="1"/>
  <c r="S35" i="1"/>
  <c r="S33" i="1"/>
  <c r="S28" i="1"/>
  <c r="S36" i="1"/>
  <c r="S29" i="1"/>
  <c r="S37" i="1"/>
  <c r="S30" i="1"/>
  <c r="S38" i="1"/>
  <c r="I22" i="1"/>
  <c r="I23" i="1"/>
  <c r="I24" i="1"/>
  <c r="I25" i="1"/>
  <c r="I26" i="1"/>
  <c r="I27" i="1"/>
  <c r="G22" i="1"/>
  <c r="O22" i="1" s="1"/>
  <c r="T22" i="1" s="1"/>
  <c r="AK22" i="1" s="1"/>
  <c r="G23" i="1"/>
  <c r="O23" i="1" s="1"/>
  <c r="T23" i="1" s="1"/>
  <c r="AK23" i="1" s="1"/>
  <c r="G24" i="1"/>
  <c r="O24" i="1" s="1"/>
  <c r="T24" i="1" s="1"/>
  <c r="AK24" i="1" s="1"/>
  <c r="G25" i="1"/>
  <c r="O25" i="1" s="1"/>
  <c r="T25" i="1" s="1"/>
  <c r="AK25" i="1" s="1"/>
  <c r="G26" i="1"/>
  <c r="O26" i="1" s="1"/>
  <c r="T26" i="1" s="1"/>
  <c r="AK26" i="1" s="1"/>
  <c r="G27" i="1"/>
  <c r="O27" i="1" s="1"/>
  <c r="T27" i="1" s="1"/>
  <c r="AK27" i="1" s="1"/>
  <c r="CE112" i="1" l="1"/>
  <c r="CN117" i="1"/>
  <c r="DH113" i="1"/>
  <c r="CQ101" i="1"/>
  <c r="CT104" i="1"/>
  <c r="CQ106" i="1"/>
  <c r="CK108" i="1"/>
  <c r="CW99" i="1"/>
  <c r="DF118" i="1"/>
  <c r="DD115" i="1"/>
  <c r="DT114" i="1"/>
  <c r="CQ109" i="1"/>
  <c r="CS116" i="1"/>
  <c r="DW102" i="1"/>
  <c r="CO107" i="1"/>
  <c r="CG111" i="1"/>
  <c r="DC110" i="1"/>
  <c r="DU110" i="1"/>
  <c r="DQ110" i="1"/>
  <c r="DF110" i="1"/>
  <c r="CW110" i="1"/>
  <c r="DD110" i="1"/>
  <c r="CX110" i="1"/>
  <c r="CO110" i="1"/>
  <c r="CV110" i="1"/>
  <c r="CK110" i="1"/>
  <c r="DV100" i="1"/>
  <c r="BX100" i="1"/>
  <c r="CE100" i="1"/>
  <c r="CK100" i="1"/>
  <c r="DP100" i="1"/>
  <c r="DH100" i="1"/>
  <c r="DN100" i="1"/>
  <c r="DU100" i="1"/>
  <c r="BW100" i="1"/>
  <c r="CC100" i="1"/>
  <c r="BT100" i="1"/>
  <c r="CT100" i="1"/>
  <c r="CL100" i="1"/>
  <c r="DF100" i="1"/>
  <c r="DM100" i="1"/>
  <c r="DT100" i="1"/>
  <c r="BU100" i="1"/>
  <c r="DB100" i="1"/>
  <c r="CA100" i="1"/>
  <c r="BS100" i="1"/>
  <c r="CX100" i="1"/>
  <c r="DE100" i="1"/>
  <c r="DL100" i="1"/>
  <c r="DS100" i="1"/>
  <c r="DR100" i="1"/>
  <c r="CI100" i="1"/>
  <c r="DG100" i="1"/>
  <c r="CP100" i="1"/>
  <c r="CW100" i="1"/>
  <c r="DD100" i="1"/>
  <c r="DK100" i="1"/>
  <c r="DQ100" i="1"/>
  <c r="CY100" i="1"/>
  <c r="DO100" i="1"/>
  <c r="CJ100" i="1"/>
  <c r="CH100" i="1"/>
  <c r="CO100" i="1"/>
  <c r="CV100" i="1"/>
  <c r="DC100" i="1"/>
  <c r="DI100" i="1"/>
  <c r="DW100" i="1"/>
  <c r="CB100" i="1"/>
  <c r="CR100" i="1"/>
  <c r="BZ100" i="1"/>
  <c r="CG100" i="1"/>
  <c r="CN100" i="1"/>
  <c r="CU100" i="1"/>
  <c r="DA100" i="1"/>
  <c r="CZ100" i="1"/>
  <c r="BV100" i="1"/>
  <c r="CK111" i="1"/>
  <c r="CN111" i="1"/>
  <c r="CE111" i="1"/>
  <c r="CJ111" i="1"/>
  <c r="CT111" i="1"/>
  <c r="CO111" i="1"/>
  <c r="CH111" i="1"/>
  <c r="BW103" i="1"/>
  <c r="DR103" i="1"/>
  <c r="DB103" i="1"/>
  <c r="DD103" i="1"/>
  <c r="CX103" i="1"/>
  <c r="CQ103" i="1"/>
  <c r="CJ103" i="1"/>
  <c r="CC103" i="1"/>
  <c r="DI117" i="1"/>
  <c r="CI117" i="1"/>
  <c r="DF117" i="1"/>
  <c r="DH117" i="1"/>
  <c r="DC117" i="1"/>
  <c r="CV117" i="1"/>
  <c r="CO117" i="1"/>
  <c r="CZ101" i="1"/>
  <c r="DH101" i="1"/>
  <c r="BU101" i="1"/>
  <c r="DT101" i="1"/>
  <c r="DM101" i="1"/>
  <c r="DF101" i="1"/>
  <c r="CY101" i="1"/>
  <c r="DT104" i="1"/>
  <c r="DF104" i="1"/>
  <c r="CP104" i="1"/>
  <c r="DW104" i="1"/>
  <c r="DP104" i="1"/>
  <c r="DI104" i="1"/>
  <c r="DB104" i="1"/>
  <c r="CL118" i="1"/>
  <c r="CR118" i="1"/>
  <c r="CU118" i="1"/>
  <c r="DU118" i="1"/>
  <c r="DN118" i="1"/>
  <c r="CI110" i="1"/>
  <c r="CZ110" i="1"/>
  <c r="CF110" i="1"/>
  <c r="DE110" i="1"/>
  <c r="DL102" i="1"/>
  <c r="CV102" i="1"/>
  <c r="CE102" i="1"/>
  <c r="DF102" i="1"/>
  <c r="CN109" i="1"/>
  <c r="CP109" i="1"/>
  <c r="DV108" i="1"/>
  <c r="CF100" i="1"/>
  <c r="CX105" i="1"/>
  <c r="DI107" i="1"/>
  <c r="CZ99" i="1"/>
  <c r="CQ114" i="1"/>
  <c r="DU112" i="1"/>
  <c r="CM111" i="1"/>
  <c r="DC111" i="1"/>
  <c r="DD111" i="1"/>
  <c r="CU111" i="1"/>
  <c r="CZ111" i="1"/>
  <c r="DB111" i="1"/>
  <c r="CW111" i="1"/>
  <c r="CP111" i="1"/>
  <c r="CI111" i="1"/>
  <c r="CL103" i="1"/>
  <c r="CT103" i="1"/>
  <c r="DU103" i="1"/>
  <c r="DL103" i="1"/>
  <c r="DF103" i="1"/>
  <c r="CY103" i="1"/>
  <c r="CR103" i="1"/>
  <c r="CK103" i="1"/>
  <c r="CX117" i="1"/>
  <c r="CY117" i="1"/>
  <c r="DV117" i="1"/>
  <c r="DP117" i="1"/>
  <c r="DK117" i="1"/>
  <c r="DD117" i="1"/>
  <c r="CW117" i="1"/>
  <c r="DS101" i="1"/>
  <c r="CU101" i="1"/>
  <c r="CR101" i="1"/>
  <c r="BV101" i="1"/>
  <c r="DU101" i="1"/>
  <c r="DN101" i="1"/>
  <c r="DG101" i="1"/>
  <c r="CV104" i="1"/>
  <c r="DL104" i="1"/>
  <c r="BY104" i="1"/>
  <c r="DQ104" i="1"/>
  <c r="DJ104" i="1"/>
  <c r="DH118" i="1"/>
  <c r="DK118" i="1"/>
  <c r="DV118" i="1"/>
  <c r="DP110" i="1"/>
  <c r="CM110" i="1"/>
  <c r="CN110" i="1"/>
  <c r="DM110" i="1"/>
  <c r="DS102" i="1"/>
  <c r="DS116" i="1"/>
  <c r="DP108" i="1"/>
  <c r="DJ107" i="1"/>
  <c r="CV107" i="1"/>
  <c r="CY99" i="1"/>
  <c r="DR99" i="1"/>
  <c r="DO113" i="1"/>
  <c r="CC106" i="1"/>
  <c r="CW112" i="1"/>
  <c r="DT111" i="1"/>
  <c r="DK111" i="1"/>
  <c r="DP111" i="1"/>
  <c r="DJ111" i="1"/>
  <c r="DE111" i="1"/>
  <c r="CX111" i="1"/>
  <c r="CQ111" i="1"/>
  <c r="DE103" i="1"/>
  <c r="DM103" i="1"/>
  <c r="CD103" i="1"/>
  <c r="DT103" i="1"/>
  <c r="DN103" i="1"/>
  <c r="DG103" i="1"/>
  <c r="CZ103" i="1"/>
  <c r="CS103" i="1"/>
  <c r="DN117" i="1"/>
  <c r="DO117" i="1"/>
  <c r="CL117" i="1"/>
  <c r="DS117" i="1"/>
  <c r="DL117" i="1"/>
  <c r="DE117" i="1"/>
  <c r="DK101" i="1"/>
  <c r="CD101" i="1"/>
  <c r="BX101" i="1"/>
  <c r="DV101" i="1"/>
  <c r="DO101" i="1"/>
  <c r="CF104" i="1"/>
  <c r="DS104" i="1"/>
  <c r="CG104" i="1"/>
  <c r="CA104" i="1"/>
  <c r="DR104" i="1"/>
  <c r="DP118" i="1"/>
  <c r="CK118" i="1"/>
  <c r="CR110" i="1"/>
  <c r="CE110" i="1"/>
  <c r="DS110" i="1"/>
  <c r="DL110" i="1"/>
  <c r="CT102" i="1"/>
  <c r="DR102" i="1"/>
  <c r="CS100" i="1"/>
  <c r="DO115" i="1"/>
  <c r="DF115" i="1"/>
  <c r="DO107" i="1"/>
  <c r="DA113" i="1"/>
  <c r="DJ114" i="1"/>
  <c r="DT106" i="1"/>
  <c r="DH111" i="1"/>
  <c r="DR111" i="1"/>
  <c r="DM111" i="1"/>
  <c r="DF111" i="1"/>
  <c r="CY111" i="1"/>
  <c r="DC103" i="1"/>
  <c r="CW103" i="1"/>
  <c r="DV103" i="1"/>
  <c r="DO103" i="1"/>
  <c r="DH103" i="1"/>
  <c r="DA103" i="1"/>
  <c r="DW117" i="1"/>
  <c r="DB117" i="1"/>
  <c r="DT117" i="1"/>
  <c r="DM117" i="1"/>
  <c r="CE101" i="1"/>
  <c r="DC101" i="1"/>
  <c r="CJ101" i="1"/>
  <c r="CL101" i="1"/>
  <c r="CF101" i="1"/>
  <c r="BY101" i="1"/>
  <c r="DW101" i="1"/>
  <c r="DC104" i="1"/>
  <c r="CN104" i="1"/>
  <c r="CH104" i="1"/>
  <c r="CO104" i="1"/>
  <c r="CI104" i="1"/>
  <c r="CB104" i="1"/>
  <c r="CQ118" i="1"/>
  <c r="DG118" i="1"/>
  <c r="CM118" i="1"/>
  <c r="CS118" i="1"/>
  <c r="CN118" i="1"/>
  <c r="DH110" i="1"/>
  <c r="CU110" i="1"/>
  <c r="CC110" i="1"/>
  <c r="DT110" i="1"/>
  <c r="CH110" i="1"/>
  <c r="DQ102" i="1"/>
  <c r="CY102" i="1"/>
  <c r="CQ100" i="1"/>
  <c r="BY100" i="1"/>
  <c r="CG105" i="1"/>
  <c r="CR105" i="1"/>
  <c r="CD105" i="1"/>
  <c r="DF107" i="1"/>
  <c r="DN108" i="1"/>
  <c r="DU108" i="1"/>
  <c r="CC108" i="1"/>
  <c r="CQ108" i="1"/>
  <c r="CB108" i="1"/>
  <c r="CT108" i="1"/>
  <c r="DF108" i="1"/>
  <c r="DM108" i="1"/>
  <c r="DT108" i="1"/>
  <c r="DG108" i="1"/>
  <c r="DW108" i="1"/>
  <c r="CA108" i="1"/>
  <c r="CX108" i="1"/>
  <c r="DE108" i="1"/>
  <c r="DL108" i="1"/>
  <c r="DS108" i="1"/>
  <c r="CJ108" i="1"/>
  <c r="CZ108" i="1"/>
  <c r="DO108" i="1"/>
  <c r="CP108" i="1"/>
  <c r="CW108" i="1"/>
  <c r="DD108" i="1"/>
  <c r="DK108" i="1"/>
  <c r="DQ108" i="1"/>
  <c r="CD108" i="1"/>
  <c r="CR108" i="1"/>
  <c r="CH108" i="1"/>
  <c r="CO108" i="1"/>
  <c r="CV108" i="1"/>
  <c r="DC108" i="1"/>
  <c r="DI108" i="1"/>
  <c r="DH108" i="1"/>
  <c r="BZ108" i="1"/>
  <c r="CG108" i="1"/>
  <c r="CN108" i="1"/>
  <c r="CU108" i="1"/>
  <c r="DA108" i="1"/>
  <c r="CL108" i="1"/>
  <c r="DB108" i="1"/>
  <c r="CY108" i="1"/>
  <c r="CF108" i="1"/>
  <c r="CM108" i="1"/>
  <c r="CS108" i="1"/>
  <c r="CI108" i="1"/>
  <c r="DJ108" i="1"/>
  <c r="CO99" i="1"/>
  <c r="CV99" i="1"/>
  <c r="DC99" i="1"/>
  <c r="DJ99" i="1"/>
  <c r="CR99" i="1"/>
  <c r="CH99" i="1"/>
  <c r="CC99" i="1"/>
  <c r="CQ99" i="1"/>
  <c r="CG99" i="1"/>
  <c r="CN99" i="1"/>
  <c r="CU99" i="1"/>
  <c r="DB99" i="1"/>
  <c r="CJ99" i="1"/>
  <c r="BU99" i="1"/>
  <c r="BV99" i="1"/>
  <c r="BY99" i="1"/>
  <c r="CF99" i="1"/>
  <c r="CM99" i="1"/>
  <c r="CT99" i="1"/>
  <c r="CB99" i="1"/>
  <c r="DF99" i="1"/>
  <c r="DQ99" i="1"/>
  <c r="CX99" i="1"/>
  <c r="BQ99" i="1"/>
  <c r="BX99" i="1"/>
  <c r="CE99" i="1"/>
  <c r="CL99" i="1"/>
  <c r="BT99" i="1"/>
  <c r="CI99" i="1"/>
  <c r="CA99" i="1"/>
  <c r="DO99" i="1"/>
  <c r="DU99" i="1"/>
  <c r="BW99" i="1"/>
  <c r="CD99" i="1"/>
  <c r="BR99" i="1"/>
  <c r="DI99" i="1"/>
  <c r="CS99" i="1"/>
  <c r="DM99" i="1"/>
  <c r="DT99" i="1"/>
  <c r="DP99" i="1"/>
  <c r="DG99" i="1"/>
  <c r="CP99" i="1"/>
  <c r="BZ99" i="1"/>
  <c r="DE99" i="1"/>
  <c r="DL99" i="1"/>
  <c r="DS99" i="1"/>
  <c r="DH99" i="1"/>
  <c r="CK99" i="1"/>
  <c r="DW99" i="1"/>
  <c r="DV99" i="1"/>
  <c r="DB114" i="1"/>
  <c r="DI114" i="1"/>
  <c r="DP114" i="1"/>
  <c r="DU114" i="1"/>
  <c r="DD114" i="1"/>
  <c r="DN114" i="1"/>
  <c r="CX114" i="1"/>
  <c r="CT114" i="1"/>
  <c r="DA114" i="1"/>
  <c r="DH114" i="1"/>
  <c r="DM114" i="1"/>
  <c r="DK114" i="1"/>
  <c r="CN114" i="1"/>
  <c r="CL114" i="1"/>
  <c r="CS114" i="1"/>
  <c r="CZ114" i="1"/>
  <c r="DE114" i="1"/>
  <c r="CU114" i="1"/>
  <c r="DV114" i="1"/>
  <c r="DL114" i="1"/>
  <c r="CM114" i="1"/>
  <c r="CK114" i="1"/>
  <c r="CR114" i="1"/>
  <c r="CW114" i="1"/>
  <c r="DF114" i="1"/>
  <c r="CH114" i="1"/>
  <c r="CJ114" i="1"/>
  <c r="CO114" i="1"/>
  <c r="CP114" i="1"/>
  <c r="DO114" i="1"/>
  <c r="DC114" i="1"/>
  <c r="CF114" i="1"/>
  <c r="CG114" i="1"/>
  <c r="DW114" i="1"/>
  <c r="CY114" i="1"/>
  <c r="DR114" i="1"/>
  <c r="DG114" i="1"/>
  <c r="CI114" i="1"/>
  <c r="CV114" i="1"/>
  <c r="CV109" i="1"/>
  <c r="CI109" i="1"/>
  <c r="CH109" i="1"/>
  <c r="CG109" i="1"/>
  <c r="CF109" i="1"/>
  <c r="CD109" i="1"/>
  <c r="CC109" i="1"/>
  <c r="CJ109" i="1"/>
  <c r="DM109" i="1"/>
  <c r="DP109" i="1"/>
  <c r="CA109" i="1"/>
  <c r="DW109" i="1"/>
  <c r="CK109" i="1"/>
  <c r="DH109" i="1"/>
  <c r="CR109" i="1"/>
  <c r="CS109" i="1"/>
  <c r="CZ109" i="1"/>
  <c r="DF109" i="1"/>
  <c r="DV109" i="1"/>
  <c r="DU109" i="1"/>
  <c r="DS109" i="1"/>
  <c r="DR109" i="1"/>
  <c r="DO109" i="1"/>
  <c r="DC109" i="1"/>
  <c r="CU109" i="1"/>
  <c r="DQ109" i="1"/>
  <c r="DT109" i="1"/>
  <c r="DK109" i="1"/>
  <c r="DJ109" i="1"/>
  <c r="DI109" i="1"/>
  <c r="DG109" i="1"/>
  <c r="DE109" i="1"/>
  <c r="CE109" i="1"/>
  <c r="CB109" i="1"/>
  <c r="DN109" i="1"/>
  <c r="DL109" i="1"/>
  <c r="DA109" i="1"/>
  <c r="CY109" i="1"/>
  <c r="CX109" i="1"/>
  <c r="CW109" i="1"/>
  <c r="CT109" i="1"/>
  <c r="CM109" i="1"/>
  <c r="DA111" i="1"/>
  <c r="CC111" i="1"/>
  <c r="CF111" i="1"/>
  <c r="DU111" i="1"/>
  <c r="DN111" i="1"/>
  <c r="DG111" i="1"/>
  <c r="CM103" i="1"/>
  <c r="DK103" i="1"/>
  <c r="DS103" i="1"/>
  <c r="BX103" i="1"/>
  <c r="DW103" i="1"/>
  <c r="DP103" i="1"/>
  <c r="DI103" i="1"/>
  <c r="CS117" i="1"/>
  <c r="DR117" i="1"/>
  <c r="DU117" i="1"/>
  <c r="DA101" i="1"/>
  <c r="BT101" i="1"/>
  <c r="BW101" i="1"/>
  <c r="CT101" i="1"/>
  <c r="CN101" i="1"/>
  <c r="CG101" i="1"/>
  <c r="BZ101" i="1"/>
  <c r="BS101" i="1"/>
  <c r="BZ104" i="1"/>
  <c r="DV104" i="1"/>
  <c r="DK104" i="1"/>
  <c r="BX104" i="1"/>
  <c r="CW104" i="1"/>
  <c r="CQ104" i="1"/>
  <c r="CJ104" i="1"/>
  <c r="CC104" i="1"/>
  <c r="BV104" i="1"/>
  <c r="DC118" i="1"/>
  <c r="CT118" i="1"/>
  <c r="CY118" i="1"/>
  <c r="DA118" i="1"/>
  <c r="CV118" i="1"/>
  <c r="CO118" i="1"/>
  <c r="CT110" i="1"/>
  <c r="DK110" i="1"/>
  <c r="CL110" i="1"/>
  <c r="CS110" i="1"/>
  <c r="CP110" i="1"/>
  <c r="DJ102" i="1"/>
  <c r="BY102" i="1"/>
  <c r="CL109" i="1"/>
  <c r="CO109" i="1"/>
  <c r="DD109" i="1"/>
  <c r="DJ100" i="1"/>
  <c r="CL115" i="1"/>
  <c r="DA99" i="1"/>
  <c r="DK99" i="1"/>
  <c r="CE113" i="1"/>
  <c r="DS114" i="1"/>
  <c r="DD116" i="1"/>
  <c r="DK116" i="1"/>
  <c r="DR116" i="1"/>
  <c r="CP116" i="1"/>
  <c r="CZ116" i="1"/>
  <c r="DP116" i="1"/>
  <c r="CV116" i="1"/>
  <c r="DC116" i="1"/>
  <c r="DJ116" i="1"/>
  <c r="DW116" i="1"/>
  <c r="CN116" i="1"/>
  <c r="CU116" i="1"/>
  <c r="DB116" i="1"/>
  <c r="DO116" i="1"/>
  <c r="DM116" i="1"/>
  <c r="DH116" i="1"/>
  <c r="DU116" i="1"/>
  <c r="DN116" i="1"/>
  <c r="CM116" i="1"/>
  <c r="CT116" i="1"/>
  <c r="DG116" i="1"/>
  <c r="CW116" i="1"/>
  <c r="CR116" i="1"/>
  <c r="DQ116" i="1"/>
  <c r="CX116" i="1"/>
  <c r="CL116" i="1"/>
  <c r="CY116" i="1"/>
  <c r="DA116" i="1"/>
  <c r="CO116" i="1"/>
  <c r="DE116" i="1"/>
  <c r="CQ116" i="1"/>
  <c r="CK116" i="1"/>
  <c r="DT116" i="1"/>
  <c r="CI116" i="1"/>
  <c r="DI116" i="1"/>
  <c r="DV116" i="1"/>
  <c r="CJ116" i="1"/>
  <c r="CJ102" i="1"/>
  <c r="CQ102" i="1"/>
  <c r="CX102" i="1"/>
  <c r="DE102" i="1"/>
  <c r="DK102" i="1"/>
  <c r="DI102" i="1"/>
  <c r="CB102" i="1"/>
  <c r="CI102" i="1"/>
  <c r="CP102" i="1"/>
  <c r="CW102" i="1"/>
  <c r="DC102" i="1"/>
  <c r="CL102" i="1"/>
  <c r="DB102" i="1"/>
  <c r="BV102" i="1"/>
  <c r="BT102" i="1"/>
  <c r="CA102" i="1"/>
  <c r="CH102" i="1"/>
  <c r="CO102" i="1"/>
  <c r="CU102" i="1"/>
  <c r="CF102" i="1"/>
  <c r="BU102" i="1"/>
  <c r="BZ102" i="1"/>
  <c r="CG102" i="1"/>
  <c r="CM102" i="1"/>
  <c r="CC102" i="1"/>
  <c r="DH102" i="1"/>
  <c r="DO102" i="1"/>
  <c r="DV102" i="1"/>
  <c r="BW102" i="1"/>
  <c r="DD102" i="1"/>
  <c r="CN102" i="1"/>
  <c r="BX102" i="1"/>
  <c r="CZ102" i="1"/>
  <c r="DG102" i="1"/>
  <c r="DN102" i="1"/>
  <c r="DU102" i="1"/>
  <c r="CK102" i="1"/>
  <c r="DT102" i="1"/>
  <c r="CG107" i="1"/>
  <c r="CN107" i="1"/>
  <c r="CU107" i="1"/>
  <c r="DB107" i="1"/>
  <c r="DH107" i="1"/>
  <c r="CS107" i="1"/>
  <c r="CP107" i="1"/>
  <c r="DW107" i="1"/>
  <c r="CX107" i="1"/>
  <c r="BY107" i="1"/>
  <c r="CF107" i="1"/>
  <c r="CM107" i="1"/>
  <c r="CT107" i="1"/>
  <c r="CZ107" i="1"/>
  <c r="BZ107" i="1"/>
  <c r="DA107" i="1"/>
  <c r="CA107" i="1"/>
  <c r="CE107" i="1"/>
  <c r="CL107" i="1"/>
  <c r="CR107" i="1"/>
  <c r="CI107" i="1"/>
  <c r="CH107" i="1"/>
  <c r="DU107" i="1"/>
  <c r="CD107" i="1"/>
  <c r="CJ107" i="1"/>
  <c r="DN107" i="1"/>
  <c r="DM107" i="1"/>
  <c r="DT107" i="1"/>
  <c r="CB107" i="1"/>
  <c r="CQ107" i="1"/>
  <c r="DG107" i="1"/>
  <c r="DV107" i="1"/>
  <c r="DE107" i="1"/>
  <c r="DL107" i="1"/>
  <c r="DS107" i="1"/>
  <c r="CK107" i="1"/>
  <c r="CY107" i="1"/>
  <c r="CW107" i="1"/>
  <c r="DD107" i="1"/>
  <c r="DK107" i="1"/>
  <c r="DR107" i="1"/>
  <c r="DQ107" i="1"/>
  <c r="CC107" i="1"/>
  <c r="DQ111" i="1"/>
  <c r="CS111" i="1"/>
  <c r="CV111" i="1"/>
  <c r="DV111" i="1"/>
  <c r="DO111" i="1"/>
  <c r="DJ103" i="1"/>
  <c r="BV103" i="1"/>
  <c r="CF103" i="1"/>
  <c r="BZ103" i="1"/>
  <c r="DQ103" i="1"/>
  <c r="CT117" i="1"/>
  <c r="CK117" i="1"/>
  <c r="CJ117" i="1"/>
  <c r="CB101" i="1"/>
  <c r="CM101" i="1"/>
  <c r="CS101" i="1"/>
  <c r="DB101" i="1"/>
  <c r="CV101" i="1"/>
  <c r="CO101" i="1"/>
  <c r="CH101" i="1"/>
  <c r="CA101" i="1"/>
  <c r="DD104" i="1"/>
  <c r="CU104" i="1"/>
  <c r="DE104" i="1"/>
  <c r="CY104" i="1"/>
  <c r="CR104" i="1"/>
  <c r="CK104" i="1"/>
  <c r="CD104" i="1"/>
  <c r="CZ118" i="1"/>
  <c r="DR118" i="1"/>
  <c r="DS118" i="1"/>
  <c r="DJ118" i="1"/>
  <c r="DO118" i="1"/>
  <c r="DI118" i="1"/>
  <c r="DD118" i="1"/>
  <c r="CW118" i="1"/>
  <c r="CP118" i="1"/>
  <c r="DJ110" i="1"/>
  <c r="CD110" i="1"/>
  <c r="DB110" i="1"/>
  <c r="CQ110" i="1"/>
  <c r="DA110" i="1"/>
  <c r="DN110" i="1"/>
  <c r="DM102" i="1"/>
  <c r="CM100" i="1"/>
  <c r="BR100" i="1"/>
  <c r="DP107" i="1"/>
  <c r="DC107" i="1"/>
  <c r="DS113" i="1"/>
  <c r="DT113" i="1"/>
  <c r="DQ114" i="1"/>
  <c r="DH106" i="1"/>
  <c r="DL106" i="1"/>
  <c r="DS106" i="1"/>
  <c r="CI106" i="1"/>
  <c r="DU106" i="1"/>
  <c r="BZ106" i="1"/>
  <c r="CO106" i="1"/>
  <c r="DD106" i="1"/>
  <c r="DK106" i="1"/>
  <c r="DR106" i="1"/>
  <c r="CA106" i="1"/>
  <c r="CX106" i="1"/>
  <c r="CP106" i="1"/>
  <c r="CV106" i="1"/>
  <c r="DC106" i="1"/>
  <c r="DJ106" i="1"/>
  <c r="DQ106" i="1"/>
  <c r="CB106" i="1"/>
  <c r="DF106" i="1"/>
  <c r="CN106" i="1"/>
  <c r="CU106" i="1"/>
  <c r="DB106" i="1"/>
  <c r="DI106" i="1"/>
  <c r="DW106" i="1"/>
  <c r="DN106" i="1"/>
  <c r="CJ106" i="1"/>
  <c r="CF106" i="1"/>
  <c r="CM106" i="1"/>
  <c r="CT106" i="1"/>
  <c r="DA106" i="1"/>
  <c r="DO106" i="1"/>
  <c r="DV106" i="1"/>
  <c r="CR106" i="1"/>
  <c r="BX106" i="1"/>
  <c r="CE106" i="1"/>
  <c r="CL106" i="1"/>
  <c r="CS106" i="1"/>
  <c r="DG106" i="1"/>
  <c r="CZ106" i="1"/>
  <c r="CH106" i="1"/>
  <c r="BY106" i="1"/>
  <c r="DE106" i="1"/>
  <c r="CD106" i="1"/>
  <c r="CK106" i="1"/>
  <c r="CY106" i="1"/>
  <c r="CG106" i="1"/>
  <c r="DP106" i="1"/>
  <c r="DM106" i="1"/>
  <c r="DS111" i="1"/>
  <c r="DI111" i="1"/>
  <c r="DL111" i="1"/>
  <c r="CD111" i="1"/>
  <c r="DW111" i="1"/>
  <c r="BY103" i="1"/>
  <c r="CN103" i="1"/>
  <c r="CH103" i="1"/>
  <c r="CA103" i="1"/>
  <c r="DG117" i="1"/>
  <c r="DJ117" i="1"/>
  <c r="DA117" i="1"/>
  <c r="CR117" i="1"/>
  <c r="CM117" i="1"/>
  <c r="DI101" i="1"/>
  <c r="DP101" i="1"/>
  <c r="DJ101" i="1"/>
  <c r="DD101" i="1"/>
  <c r="CW101" i="1"/>
  <c r="CP101" i="1"/>
  <c r="CI101" i="1"/>
  <c r="CE104" i="1"/>
  <c r="DN104" i="1"/>
  <c r="DM104" i="1"/>
  <c r="DG104" i="1"/>
  <c r="CZ104" i="1"/>
  <c r="CS104" i="1"/>
  <c r="CL104" i="1"/>
  <c r="CJ118" i="1"/>
  <c r="DQ118" i="1"/>
  <c r="DL118" i="1"/>
  <c r="DE118" i="1"/>
  <c r="CX118" i="1"/>
  <c r="CB110" i="1"/>
  <c r="DR110" i="1"/>
  <c r="DG110" i="1"/>
  <c r="DI110" i="1"/>
  <c r="DV110" i="1"/>
  <c r="CD102" i="1"/>
  <c r="CR102" i="1"/>
  <c r="DF116" i="1"/>
  <c r="DL116" i="1"/>
  <c r="DR108" i="1"/>
  <c r="CO105" i="1"/>
  <c r="DN99" i="1"/>
  <c r="BS99" i="1"/>
  <c r="CK115" i="1"/>
  <c r="CX115" i="1"/>
  <c r="CN115" i="1"/>
  <c r="CY115" i="1"/>
  <c r="CR115" i="1"/>
  <c r="DG115" i="1"/>
  <c r="CQ115" i="1"/>
  <c r="CP115" i="1"/>
  <c r="CI115" i="1"/>
  <c r="DL115" i="1"/>
  <c r="DS115" i="1"/>
  <c r="CH115" i="1"/>
  <c r="DK115" i="1"/>
  <c r="DR115" i="1"/>
  <c r="DP115" i="1"/>
  <c r="DM115" i="1"/>
  <c r="CO115" i="1"/>
  <c r="DC115" i="1"/>
  <c r="DJ115" i="1"/>
  <c r="DQ115" i="1"/>
  <c r="CZ115" i="1"/>
  <c r="CW115" i="1"/>
  <c r="DW115" i="1"/>
  <c r="DE115" i="1"/>
  <c r="CU115" i="1"/>
  <c r="DB115" i="1"/>
  <c r="DI115" i="1"/>
  <c r="DV115" i="1"/>
  <c r="CJ115" i="1"/>
  <c r="CG115" i="1"/>
  <c r="CM115" i="1"/>
  <c r="CT115" i="1"/>
  <c r="DA115" i="1"/>
  <c r="DN115" i="1"/>
  <c r="DT115" i="1"/>
  <c r="DU115" i="1"/>
  <c r="CV115" i="1"/>
  <c r="CC105" i="1"/>
  <c r="CJ105" i="1"/>
  <c r="CP105" i="1"/>
  <c r="DT105" i="1"/>
  <c r="DO105" i="1"/>
  <c r="DS105" i="1"/>
  <c r="CB105" i="1"/>
  <c r="CH105" i="1"/>
  <c r="CA105" i="1"/>
  <c r="CV105" i="1"/>
  <c r="DK105" i="1"/>
  <c r="DR105" i="1"/>
  <c r="BZ105" i="1"/>
  <c r="DE105" i="1"/>
  <c r="DU105" i="1"/>
  <c r="BY105" i="1"/>
  <c r="DC105" i="1"/>
  <c r="DJ105" i="1"/>
  <c r="DQ105" i="1"/>
  <c r="CI105" i="1"/>
  <c r="CY105" i="1"/>
  <c r="DM105" i="1"/>
  <c r="CU105" i="1"/>
  <c r="DB105" i="1"/>
  <c r="DI105" i="1"/>
  <c r="DP105" i="1"/>
  <c r="DV105" i="1"/>
  <c r="CF105" i="1"/>
  <c r="CQ105" i="1"/>
  <c r="CM105" i="1"/>
  <c r="CT105" i="1"/>
  <c r="DA105" i="1"/>
  <c r="DH105" i="1"/>
  <c r="DN105" i="1"/>
  <c r="DG105" i="1"/>
  <c r="DW105" i="1"/>
  <c r="BX105" i="1"/>
  <c r="CE105" i="1"/>
  <c r="CL105" i="1"/>
  <c r="CS105" i="1"/>
  <c r="CZ105" i="1"/>
  <c r="DF105" i="1"/>
  <c r="CN105" i="1"/>
  <c r="DD105" i="1"/>
  <c r="CW105" i="1"/>
  <c r="DL105" i="1"/>
  <c r="CS113" i="1"/>
  <c r="CZ113" i="1"/>
  <c r="DG113" i="1"/>
  <c r="DL113" i="1"/>
  <c r="DR113" i="1"/>
  <c r="CT113" i="1"/>
  <c r="CK113" i="1"/>
  <c r="CR113" i="1"/>
  <c r="CY113" i="1"/>
  <c r="DD113" i="1"/>
  <c r="DB113" i="1"/>
  <c r="DM113" i="1"/>
  <c r="DV113" i="1"/>
  <c r="DJ113" i="1"/>
  <c r="CJ113" i="1"/>
  <c r="CQ113" i="1"/>
  <c r="CV113" i="1"/>
  <c r="CL113" i="1"/>
  <c r="CW113" i="1"/>
  <c r="DF113" i="1"/>
  <c r="DU113" i="1"/>
  <c r="CI113" i="1"/>
  <c r="CN113" i="1"/>
  <c r="CG113" i="1"/>
  <c r="CP113" i="1"/>
  <c r="CO113" i="1"/>
  <c r="CF113" i="1"/>
  <c r="DE113" i="1"/>
  <c r="DQ113" i="1"/>
  <c r="DN113" i="1"/>
  <c r="DK113" i="1"/>
  <c r="CM113" i="1"/>
  <c r="DI113" i="1"/>
  <c r="DP113" i="1"/>
  <c r="DW113" i="1"/>
  <c r="CX113" i="1"/>
  <c r="CU113" i="1"/>
  <c r="DC113" i="1"/>
  <c r="DP112" i="1"/>
  <c r="DW112" i="1"/>
  <c r="DE112" i="1"/>
  <c r="CG112" i="1"/>
  <c r="DH112" i="1"/>
  <c r="DO112" i="1"/>
  <c r="DV112" i="1"/>
  <c r="CO112" i="1"/>
  <c r="DR112" i="1"/>
  <c r="CZ112" i="1"/>
  <c r="DG112" i="1"/>
  <c r="DN112" i="1"/>
  <c r="DS112" i="1"/>
  <c r="DB112" i="1"/>
  <c r="CK112" i="1"/>
  <c r="DA112" i="1"/>
  <c r="CR112" i="1"/>
  <c r="CY112" i="1"/>
  <c r="DF112" i="1"/>
  <c r="DK112" i="1"/>
  <c r="DI112" i="1"/>
  <c r="CL112" i="1"/>
  <c r="DJ112" i="1"/>
  <c r="CJ112" i="1"/>
  <c r="CQ112" i="1"/>
  <c r="CX112" i="1"/>
  <c r="DC112" i="1"/>
  <c r="CS112" i="1"/>
  <c r="DT112" i="1"/>
  <c r="CF112" i="1"/>
  <c r="CV112" i="1"/>
  <c r="CI112" i="1"/>
  <c r="CP112" i="1"/>
  <c r="CU112" i="1"/>
  <c r="DD112" i="1"/>
  <c r="DQ112" i="1"/>
  <c r="CH112" i="1"/>
  <c r="CM112" i="1"/>
  <c r="CN112" i="1"/>
  <c r="DM112" i="1"/>
  <c r="CD112" i="1"/>
  <c r="CT112" i="1"/>
  <c r="CR111" i="1"/>
  <c r="CL111" i="1"/>
  <c r="CG103" i="1"/>
  <c r="CO103" i="1"/>
  <c r="CU103" i="1"/>
  <c r="CE103" i="1"/>
  <c r="CV103" i="1"/>
  <c r="CP103" i="1"/>
  <c r="CI103" i="1"/>
  <c r="CB103" i="1"/>
  <c r="CQ117" i="1"/>
  <c r="DQ117" i="1"/>
  <c r="CP117" i="1"/>
  <c r="CZ117" i="1"/>
  <c r="CU117" i="1"/>
  <c r="CC101" i="1"/>
  <c r="CK101" i="1"/>
  <c r="DQ101" i="1"/>
  <c r="DR101" i="1"/>
  <c r="DL101" i="1"/>
  <c r="DE101" i="1"/>
  <c r="CX101" i="1"/>
  <c r="CX104" i="1"/>
  <c r="CM104" i="1"/>
  <c r="BW104" i="1"/>
  <c r="DU104" i="1"/>
  <c r="DO104" i="1"/>
  <c r="DH104" i="1"/>
  <c r="DA104" i="1"/>
  <c r="DB118" i="1"/>
  <c r="DW118" i="1"/>
  <c r="DT118" i="1"/>
  <c r="DM118" i="1"/>
  <c r="DO110" i="1"/>
  <c r="CY110" i="1"/>
  <c r="CJ110" i="1"/>
  <c r="DW110" i="1"/>
  <c r="CG110" i="1"/>
  <c r="CS102" i="1"/>
  <c r="DA102" i="1"/>
  <c r="DP102" i="1"/>
  <c r="DB109" i="1"/>
  <c r="CH116" i="1"/>
  <c r="CE108" i="1"/>
  <c r="CD100" i="1"/>
  <c r="CK105" i="1"/>
  <c r="DH115" i="1"/>
  <c r="CS115" i="1"/>
  <c r="DD99" i="1"/>
  <c r="CH113" i="1"/>
  <c r="CW106" i="1"/>
  <c r="DL112" i="1"/>
  <c r="N23" i="1"/>
  <c r="R23" i="1" s="1"/>
  <c r="N22" i="1"/>
  <c r="R22" i="1" s="1"/>
  <c r="N27" i="1"/>
  <c r="R27" i="1" s="1"/>
  <c r="L26" i="1"/>
  <c r="N26" i="1"/>
  <c r="R26" i="1" s="1"/>
  <c r="N25" i="1"/>
  <c r="R25" i="1" s="1"/>
  <c r="N24" i="1"/>
  <c r="R24" i="1" s="1"/>
  <c r="L24" i="1"/>
  <c r="L23" i="1"/>
  <c r="L27" i="1"/>
  <c r="L22" i="1"/>
  <c r="L25" i="1"/>
  <c r="EB24" i="1" l="1"/>
  <c r="AL24" i="1"/>
  <c r="AL22" i="1"/>
  <c r="EB22" i="1"/>
  <c r="EB26" i="1"/>
  <c r="AL26" i="1"/>
  <c r="EB23" i="1"/>
  <c r="AL23" i="1"/>
  <c r="EB25" i="1"/>
  <c r="AL25" i="1"/>
  <c r="EB27" i="1"/>
  <c r="AL27" i="1"/>
  <c r="S24" i="1"/>
  <c r="S25" i="1"/>
  <c r="S26" i="1"/>
  <c r="S27" i="1"/>
  <c r="S22" i="1"/>
  <c r="S23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E10" i="1" s="1"/>
  <c r="G10" i="1" l="1"/>
  <c r="F10" i="1"/>
  <c r="AP9" i="1"/>
  <c r="E12" i="1"/>
  <c r="E20" i="1"/>
  <c r="E19" i="1"/>
  <c r="E21" i="1"/>
  <c r="E18" i="1"/>
  <c r="E15" i="1"/>
  <c r="E13" i="1"/>
  <c r="E14" i="1"/>
  <c r="E11" i="1"/>
  <c r="E16" i="1"/>
  <c r="E17" i="1"/>
  <c r="E74" i="1"/>
  <c r="E75" i="1"/>
  <c r="E52" i="1"/>
  <c r="E60" i="1"/>
  <c r="E68" i="1"/>
  <c r="E76" i="1"/>
  <c r="E67" i="1"/>
  <c r="E53" i="1"/>
  <c r="E61" i="1"/>
  <c r="E69" i="1"/>
  <c r="E77" i="1"/>
  <c r="E66" i="1"/>
  <c r="E46" i="1"/>
  <c r="E54" i="1"/>
  <c r="E62" i="1"/>
  <c r="E70" i="1"/>
  <c r="E78" i="1"/>
  <c r="E47" i="1"/>
  <c r="I47" i="1" s="1"/>
  <c r="E55" i="1"/>
  <c r="E63" i="1"/>
  <c r="E71" i="1"/>
  <c r="E79" i="1"/>
  <c r="E58" i="1"/>
  <c r="E51" i="1"/>
  <c r="E48" i="1"/>
  <c r="E56" i="1"/>
  <c r="E64" i="1"/>
  <c r="E72" i="1"/>
  <c r="E80" i="1"/>
  <c r="E50" i="1"/>
  <c r="E59" i="1"/>
  <c r="E49" i="1"/>
  <c r="E57" i="1"/>
  <c r="E65" i="1"/>
  <c r="E73" i="1"/>
  <c r="G73" i="1" s="1"/>
  <c r="AW10" i="1" l="1"/>
  <c r="AR9" i="1"/>
  <c r="DU82" i="1"/>
  <c r="BI82" i="1"/>
  <c r="DD82" i="1"/>
  <c r="CL82" i="1"/>
  <c r="DK82" i="1"/>
  <c r="DB82" i="1"/>
  <c r="CC82" i="1"/>
  <c r="CB82" i="1"/>
  <c r="CY82" i="1"/>
  <c r="CN82" i="1"/>
  <c r="DM82" i="1"/>
  <c r="CT82" i="1"/>
  <c r="CV82" i="1"/>
  <c r="BV82" i="1"/>
  <c r="DC82" i="1"/>
  <c r="CD82" i="1"/>
  <c r="DV82" i="1"/>
  <c r="BT82" i="1"/>
  <c r="CI82" i="1"/>
  <c r="BN82" i="1"/>
  <c r="BS82" i="1"/>
  <c r="DE82" i="1"/>
  <c r="CW82" i="1"/>
  <c r="DQ82" i="1"/>
  <c r="CF82" i="1"/>
  <c r="CK82" i="1"/>
  <c r="CM82" i="1"/>
  <c r="BM82" i="1"/>
  <c r="DP82" i="1"/>
  <c r="DO82" i="1"/>
  <c r="BK82" i="1"/>
  <c r="CS82" i="1"/>
  <c r="CO82" i="1"/>
  <c r="BU82" i="1"/>
  <c r="BX82" i="1"/>
  <c r="BE82" i="1"/>
  <c r="CE82" i="1"/>
  <c r="CX82" i="1"/>
  <c r="DH82" i="1"/>
  <c r="DG82" i="1"/>
  <c r="DF82" i="1"/>
  <c r="BJ82" i="1"/>
  <c r="CG82" i="1"/>
  <c r="BR82" i="1"/>
  <c r="BP82" i="1"/>
  <c r="DN82" i="1"/>
  <c r="BW82" i="1"/>
  <c r="DJ82" i="1"/>
  <c r="CZ82" i="1"/>
  <c r="CQ82" i="1"/>
  <c r="CP82" i="1"/>
  <c r="DA82" i="1"/>
  <c r="BY82" i="1"/>
  <c r="DT82" i="1"/>
  <c r="BH82" i="1"/>
  <c r="BZ82" i="1"/>
  <c r="BO82" i="1"/>
  <c r="BF82" i="1"/>
  <c r="CR82" i="1"/>
  <c r="CA82" i="1"/>
  <c r="CH82" i="1"/>
  <c r="BL82" i="1"/>
  <c r="BQ82" i="1"/>
  <c r="DL82" i="1"/>
  <c r="DR82" i="1"/>
  <c r="DS82" i="1"/>
  <c r="BG82" i="1"/>
  <c r="DI82" i="1"/>
  <c r="CJ82" i="1"/>
  <c r="DW82" i="1"/>
  <c r="CU82" i="1"/>
  <c r="AW54" i="1"/>
  <c r="F54" i="1"/>
  <c r="AW50" i="1"/>
  <c r="F50" i="1"/>
  <c r="AW66" i="1"/>
  <c r="F66" i="1"/>
  <c r="AW11" i="1"/>
  <c r="F11" i="1"/>
  <c r="AW13" i="1"/>
  <c r="F13" i="1"/>
  <c r="AW43" i="1"/>
  <c r="F43" i="1"/>
  <c r="AW80" i="1"/>
  <c r="F80" i="1"/>
  <c r="AW72" i="1"/>
  <c r="F72" i="1"/>
  <c r="AW64" i="1"/>
  <c r="F64" i="1"/>
  <c r="AW56" i="1"/>
  <c r="F56" i="1"/>
  <c r="AW61" i="1"/>
  <c r="F61" i="1"/>
  <c r="AW53" i="1"/>
  <c r="F53" i="1"/>
  <c r="AW18" i="1"/>
  <c r="F18" i="1"/>
  <c r="AW60" i="1"/>
  <c r="F60" i="1"/>
  <c r="AW62" i="1"/>
  <c r="F62" i="1"/>
  <c r="AW46" i="1"/>
  <c r="F46" i="1"/>
  <c r="AW77" i="1"/>
  <c r="F77" i="1"/>
  <c r="AW69" i="1"/>
  <c r="F69" i="1"/>
  <c r="AW48" i="1"/>
  <c r="F48" i="1"/>
  <c r="AW51" i="1"/>
  <c r="F51" i="1"/>
  <c r="AW45" i="1"/>
  <c r="F45" i="1"/>
  <c r="AW71" i="1"/>
  <c r="F71" i="1"/>
  <c r="AW21" i="1"/>
  <c r="F21" i="1"/>
  <c r="AW63" i="1"/>
  <c r="F63" i="1"/>
  <c r="AW52" i="1"/>
  <c r="F52" i="1"/>
  <c r="AW12" i="1"/>
  <c r="F12" i="1"/>
  <c r="AW74" i="1"/>
  <c r="F74" i="1"/>
  <c r="AW16" i="1"/>
  <c r="F16" i="1"/>
  <c r="AW15" i="1"/>
  <c r="F15" i="1"/>
  <c r="AW67" i="1"/>
  <c r="F67" i="1"/>
  <c r="AW76" i="1"/>
  <c r="F76" i="1"/>
  <c r="AW73" i="1"/>
  <c r="F73" i="1"/>
  <c r="AW68" i="1"/>
  <c r="F68" i="1"/>
  <c r="AW65" i="1"/>
  <c r="F65" i="1"/>
  <c r="AW55" i="1"/>
  <c r="F55" i="1"/>
  <c r="AW57" i="1"/>
  <c r="F57" i="1"/>
  <c r="AW78" i="1"/>
  <c r="F78" i="1"/>
  <c r="AW44" i="1"/>
  <c r="F44" i="1"/>
  <c r="AW75" i="1"/>
  <c r="F75" i="1"/>
  <c r="AW17" i="1"/>
  <c r="F17" i="1"/>
  <c r="AW14" i="1"/>
  <c r="F14" i="1"/>
  <c r="AW58" i="1"/>
  <c r="F58" i="1"/>
  <c r="AW79" i="1"/>
  <c r="F79" i="1"/>
  <c r="AW19" i="1"/>
  <c r="F19" i="1"/>
  <c r="AW20" i="1"/>
  <c r="F20" i="1"/>
  <c r="AW47" i="1"/>
  <c r="F47" i="1"/>
  <c r="AW49" i="1"/>
  <c r="F49" i="1"/>
  <c r="AW59" i="1"/>
  <c r="F59" i="1"/>
  <c r="AW70" i="1"/>
  <c r="F70" i="1"/>
  <c r="AW42" i="1"/>
  <c r="F42" i="1"/>
  <c r="I61" i="1"/>
  <c r="G61" i="1"/>
  <c r="O61" i="1" s="1"/>
  <c r="T61" i="1" s="1"/>
  <c r="AK61" i="1" s="1"/>
  <c r="I14" i="1"/>
  <c r="G14" i="1"/>
  <c r="O14" i="1" s="1"/>
  <c r="T14" i="1" s="1"/>
  <c r="AK14" i="1" s="1"/>
  <c r="I78" i="1"/>
  <c r="G78" i="1"/>
  <c r="O78" i="1" s="1"/>
  <c r="T78" i="1" s="1"/>
  <c r="AK78" i="1" s="1"/>
  <c r="I70" i="1"/>
  <c r="G70" i="1"/>
  <c r="O70" i="1" s="1"/>
  <c r="T70" i="1" s="1"/>
  <c r="AK70" i="1" s="1"/>
  <c r="I62" i="1"/>
  <c r="G62" i="1"/>
  <c r="O62" i="1" s="1"/>
  <c r="T62" i="1" s="1"/>
  <c r="AK62" i="1" s="1"/>
  <c r="I15" i="1"/>
  <c r="G15" i="1"/>
  <c r="O15" i="1" s="1"/>
  <c r="T15" i="1" s="1"/>
  <c r="AK15" i="1" s="1"/>
  <c r="I13" i="1"/>
  <c r="G13" i="1"/>
  <c r="O13" i="1" s="1"/>
  <c r="T13" i="1" s="1"/>
  <c r="AK13" i="1" s="1"/>
  <c r="I18" i="1"/>
  <c r="G18" i="1"/>
  <c r="O18" i="1" s="1"/>
  <c r="T18" i="1" s="1"/>
  <c r="AK18" i="1" s="1"/>
  <c r="O42" i="1"/>
  <c r="T42" i="1" s="1"/>
  <c r="AK42" i="1" s="1"/>
  <c r="O43" i="1"/>
  <c r="T43" i="1" s="1"/>
  <c r="AK43" i="1" s="1"/>
  <c r="G79" i="1"/>
  <c r="O79" i="1" s="1"/>
  <c r="T79" i="1" s="1"/>
  <c r="AK79" i="1" s="1"/>
  <c r="I79" i="1"/>
  <c r="G54" i="1"/>
  <c r="O54" i="1" s="1"/>
  <c r="T54" i="1" s="1"/>
  <c r="AK54" i="1" s="1"/>
  <c r="I54" i="1"/>
  <c r="I67" i="1"/>
  <c r="G67" i="1"/>
  <c r="O67" i="1" s="1"/>
  <c r="T67" i="1" s="1"/>
  <c r="AK67" i="1" s="1"/>
  <c r="G74" i="1"/>
  <c r="O74" i="1" s="1"/>
  <c r="T74" i="1" s="1"/>
  <c r="AK74" i="1" s="1"/>
  <c r="I74" i="1"/>
  <c r="I80" i="1"/>
  <c r="G80" i="1"/>
  <c r="O80" i="1" s="1"/>
  <c r="T80" i="1" s="1"/>
  <c r="AK80" i="1" s="1"/>
  <c r="I71" i="1"/>
  <c r="G71" i="1"/>
  <c r="O71" i="1" s="1"/>
  <c r="T71" i="1" s="1"/>
  <c r="AK71" i="1" s="1"/>
  <c r="I46" i="1"/>
  <c r="G46" i="1"/>
  <c r="O46" i="1" s="1"/>
  <c r="T46" i="1" s="1"/>
  <c r="AK46" i="1" s="1"/>
  <c r="I76" i="1"/>
  <c r="G76" i="1"/>
  <c r="O76" i="1" s="1"/>
  <c r="T76" i="1" s="1"/>
  <c r="AK76" i="1" s="1"/>
  <c r="G17" i="1"/>
  <c r="O17" i="1" s="1"/>
  <c r="T17" i="1" s="1"/>
  <c r="AK17" i="1" s="1"/>
  <c r="I17" i="1"/>
  <c r="G21" i="1"/>
  <c r="O21" i="1" s="1"/>
  <c r="T21" i="1" s="1"/>
  <c r="AK21" i="1" s="1"/>
  <c r="I21" i="1"/>
  <c r="G49" i="1"/>
  <c r="O49" i="1" s="1"/>
  <c r="T49" i="1" s="1"/>
  <c r="AK49" i="1" s="1"/>
  <c r="I49" i="1"/>
  <c r="O44" i="1"/>
  <c r="T44" i="1" s="1"/>
  <c r="AK44" i="1" s="1"/>
  <c r="O45" i="1"/>
  <c r="T45" i="1" s="1"/>
  <c r="AK45" i="1" s="1"/>
  <c r="G66" i="1"/>
  <c r="O66" i="1" s="1"/>
  <c r="T66" i="1" s="1"/>
  <c r="AK66" i="1" s="1"/>
  <c r="I66" i="1"/>
  <c r="I16" i="1"/>
  <c r="G16" i="1"/>
  <c r="O16" i="1" s="1"/>
  <c r="T16" i="1" s="1"/>
  <c r="AK16" i="1" s="1"/>
  <c r="I19" i="1"/>
  <c r="G19" i="1"/>
  <c r="O19" i="1" s="1"/>
  <c r="T19" i="1" s="1"/>
  <c r="AK19" i="1" s="1"/>
  <c r="I59" i="1"/>
  <c r="G59" i="1"/>
  <c r="O59" i="1" s="1"/>
  <c r="T59" i="1" s="1"/>
  <c r="AK59" i="1" s="1"/>
  <c r="G53" i="1"/>
  <c r="O53" i="1" s="1"/>
  <c r="T53" i="1" s="1"/>
  <c r="AK53" i="1" s="1"/>
  <c r="I53" i="1"/>
  <c r="G58" i="1"/>
  <c r="O58" i="1" s="1"/>
  <c r="T58" i="1" s="1"/>
  <c r="AK58" i="1" s="1"/>
  <c r="I58" i="1"/>
  <c r="G50" i="1"/>
  <c r="O50" i="1" s="1"/>
  <c r="T50" i="1" s="1"/>
  <c r="AK50" i="1" s="1"/>
  <c r="I50" i="1"/>
  <c r="I73" i="1"/>
  <c r="O73" i="1"/>
  <c r="T73" i="1" s="1"/>
  <c r="AK73" i="1" s="1"/>
  <c r="I72" i="1"/>
  <c r="G72" i="1"/>
  <c r="O72" i="1" s="1"/>
  <c r="T72" i="1" s="1"/>
  <c r="AK72" i="1" s="1"/>
  <c r="I68" i="1"/>
  <c r="G68" i="1"/>
  <c r="O68" i="1" s="1"/>
  <c r="T68" i="1" s="1"/>
  <c r="AK68" i="1" s="1"/>
  <c r="G65" i="1"/>
  <c r="O65" i="1" s="1"/>
  <c r="T65" i="1" s="1"/>
  <c r="AK65" i="1" s="1"/>
  <c r="I65" i="1"/>
  <c r="G64" i="1"/>
  <c r="O64" i="1" s="1"/>
  <c r="T64" i="1" s="1"/>
  <c r="AK64" i="1" s="1"/>
  <c r="I64" i="1"/>
  <c r="G55" i="1"/>
  <c r="O55" i="1" s="1"/>
  <c r="T55" i="1" s="1"/>
  <c r="AK55" i="1" s="1"/>
  <c r="I55" i="1"/>
  <c r="G77" i="1"/>
  <c r="O77" i="1" s="1"/>
  <c r="T77" i="1" s="1"/>
  <c r="AK77" i="1" s="1"/>
  <c r="I77" i="1"/>
  <c r="I60" i="1"/>
  <c r="G60" i="1"/>
  <c r="O60" i="1" s="1"/>
  <c r="T60" i="1" s="1"/>
  <c r="AK60" i="1" s="1"/>
  <c r="I11" i="1"/>
  <c r="G11" i="1"/>
  <c r="O11" i="1" s="1"/>
  <c r="T11" i="1" s="1"/>
  <c r="AK11" i="1" s="1"/>
  <c r="I20" i="1"/>
  <c r="G20" i="1"/>
  <c r="O20" i="1" s="1"/>
  <c r="T20" i="1" s="1"/>
  <c r="AK20" i="1" s="1"/>
  <c r="G48" i="1"/>
  <c r="O48" i="1" s="1"/>
  <c r="T48" i="1" s="1"/>
  <c r="AK48" i="1" s="1"/>
  <c r="I48" i="1"/>
  <c r="I51" i="1"/>
  <c r="G51" i="1"/>
  <c r="O51" i="1" s="1"/>
  <c r="T51" i="1" s="1"/>
  <c r="AK51" i="1" s="1"/>
  <c r="I75" i="1"/>
  <c r="G75" i="1"/>
  <c r="O75" i="1" s="1"/>
  <c r="T75" i="1" s="1"/>
  <c r="AK75" i="1" s="1"/>
  <c r="I63" i="1"/>
  <c r="G63" i="1"/>
  <c r="O63" i="1" s="1"/>
  <c r="T63" i="1" s="1"/>
  <c r="AK63" i="1" s="1"/>
  <c r="G57" i="1"/>
  <c r="O57" i="1" s="1"/>
  <c r="T57" i="1" s="1"/>
  <c r="AK57" i="1" s="1"/>
  <c r="I57" i="1"/>
  <c r="I56" i="1"/>
  <c r="G56" i="1"/>
  <c r="O56" i="1" s="1"/>
  <c r="T56" i="1" s="1"/>
  <c r="AK56" i="1" s="1"/>
  <c r="G47" i="1"/>
  <c r="O47" i="1" s="1"/>
  <c r="T47" i="1" s="1"/>
  <c r="AK47" i="1" s="1"/>
  <c r="G69" i="1"/>
  <c r="O69" i="1" s="1"/>
  <c r="T69" i="1" s="1"/>
  <c r="AK69" i="1" s="1"/>
  <c r="I69" i="1"/>
  <c r="I52" i="1"/>
  <c r="G52" i="1"/>
  <c r="O52" i="1" s="1"/>
  <c r="T52" i="1" s="1"/>
  <c r="AK52" i="1" s="1"/>
  <c r="I10" i="1"/>
  <c r="O10" i="1"/>
  <c r="I12" i="1"/>
  <c r="G12" i="1"/>
  <c r="O12" i="1" s="1"/>
  <c r="T12" i="1" s="1"/>
  <c r="AK12" i="1" s="1"/>
  <c r="CO125" i="1" l="1"/>
  <c r="CG125" i="1"/>
  <c r="BY125" i="1"/>
  <c r="BQ125" i="1"/>
  <c r="BI125" i="1"/>
  <c r="CN125" i="1"/>
  <c r="CF125" i="1"/>
  <c r="BX125" i="1"/>
  <c r="BP125" i="1"/>
  <c r="BH125" i="1"/>
  <c r="CM125" i="1"/>
  <c r="CE125" i="1"/>
  <c r="BW125" i="1"/>
  <c r="CH125" i="1"/>
  <c r="BT125" i="1"/>
  <c r="BJ125" i="1"/>
  <c r="CD125" i="1"/>
  <c r="BS125" i="1"/>
  <c r="BG125" i="1"/>
  <c r="CC125" i="1"/>
  <c r="BR125" i="1"/>
  <c r="BF125" i="1"/>
  <c r="CK125" i="1"/>
  <c r="BZ125" i="1"/>
  <c r="BM125" i="1"/>
  <c r="CJ125" i="1"/>
  <c r="BV125" i="1"/>
  <c r="BL125" i="1"/>
  <c r="CL125" i="1"/>
  <c r="BE125" i="1"/>
  <c r="CI125" i="1"/>
  <c r="CB125" i="1"/>
  <c r="CA125" i="1"/>
  <c r="BO125" i="1"/>
  <c r="CP125" i="1"/>
  <c r="BU125" i="1"/>
  <c r="BK125" i="1"/>
  <c r="BN125" i="1"/>
  <c r="DD143" i="1"/>
  <c r="CV143" i="1"/>
  <c r="CN143" i="1"/>
  <c r="CF143" i="1"/>
  <c r="BX143" i="1"/>
  <c r="BP143" i="1"/>
  <c r="BH143" i="1"/>
  <c r="DC143" i="1"/>
  <c r="CU143" i="1"/>
  <c r="CM143" i="1"/>
  <c r="CE143" i="1"/>
  <c r="BW143" i="1"/>
  <c r="BO143" i="1"/>
  <c r="BG143" i="1"/>
  <c r="DB143" i="1"/>
  <c r="CT143" i="1"/>
  <c r="CL143" i="1"/>
  <c r="CD143" i="1"/>
  <c r="BV143" i="1"/>
  <c r="BN143" i="1"/>
  <c r="BF143" i="1"/>
  <c r="DG143" i="1"/>
  <c r="CY143" i="1"/>
  <c r="CQ143" i="1"/>
  <c r="CI143" i="1"/>
  <c r="CA143" i="1"/>
  <c r="BS143" i="1"/>
  <c r="BK143" i="1"/>
  <c r="CS143" i="1"/>
  <c r="CC143" i="1"/>
  <c r="BM143" i="1"/>
  <c r="DH143" i="1"/>
  <c r="CR143" i="1"/>
  <c r="CB143" i="1"/>
  <c r="BL143" i="1"/>
  <c r="DF143" i="1"/>
  <c r="CP143" i="1"/>
  <c r="BZ143" i="1"/>
  <c r="BJ143" i="1"/>
  <c r="DE143" i="1"/>
  <c r="CO143" i="1"/>
  <c r="BY143" i="1"/>
  <c r="BI143" i="1"/>
  <c r="CZ143" i="1"/>
  <c r="CJ143" i="1"/>
  <c r="BT143" i="1"/>
  <c r="BR143" i="1"/>
  <c r="DA143" i="1"/>
  <c r="BQ143" i="1"/>
  <c r="CX143" i="1"/>
  <c r="BE143" i="1"/>
  <c r="CW143" i="1"/>
  <c r="CK143" i="1"/>
  <c r="BU143" i="1"/>
  <c r="CH143" i="1"/>
  <c r="CG143" i="1"/>
  <c r="CP126" i="1"/>
  <c r="CH126" i="1"/>
  <c r="BZ126" i="1"/>
  <c r="CL126" i="1"/>
  <c r="CD126" i="1"/>
  <c r="BV126" i="1"/>
  <c r="CM126" i="1"/>
  <c r="CB126" i="1"/>
  <c r="BR126" i="1"/>
  <c r="BJ126" i="1"/>
  <c r="CK126" i="1"/>
  <c r="CA126" i="1"/>
  <c r="BQ126" i="1"/>
  <c r="BI126" i="1"/>
  <c r="CJ126" i="1"/>
  <c r="BY126" i="1"/>
  <c r="BP126" i="1"/>
  <c r="BH126" i="1"/>
  <c r="CC126" i="1"/>
  <c r="BM126" i="1"/>
  <c r="CQ126" i="1"/>
  <c r="BX126" i="1"/>
  <c r="BL126" i="1"/>
  <c r="CO126" i="1"/>
  <c r="BW126" i="1"/>
  <c r="BK126" i="1"/>
  <c r="CG126" i="1"/>
  <c r="BS126" i="1"/>
  <c r="BE126" i="1"/>
  <c r="CF126" i="1"/>
  <c r="BO126" i="1"/>
  <c r="CN126" i="1"/>
  <c r="CI126" i="1"/>
  <c r="CE126" i="1"/>
  <c r="BU126" i="1"/>
  <c r="BN126" i="1"/>
  <c r="BT126" i="1"/>
  <c r="BG126" i="1"/>
  <c r="BF126" i="1"/>
  <c r="DN156" i="1"/>
  <c r="DF156" i="1"/>
  <c r="CX156" i="1"/>
  <c r="CP156" i="1"/>
  <c r="CH156" i="1"/>
  <c r="BZ156" i="1"/>
  <c r="BR156" i="1"/>
  <c r="BJ156" i="1"/>
  <c r="DU156" i="1"/>
  <c r="DM156" i="1"/>
  <c r="DE156" i="1"/>
  <c r="CW156" i="1"/>
  <c r="CO156" i="1"/>
  <c r="CG156" i="1"/>
  <c r="BY156" i="1"/>
  <c r="BQ156" i="1"/>
  <c r="BI156" i="1"/>
  <c r="DS156" i="1"/>
  <c r="DK156" i="1"/>
  <c r="DC156" i="1"/>
  <c r="CU156" i="1"/>
  <c r="CM156" i="1"/>
  <c r="CE156" i="1"/>
  <c r="BW156" i="1"/>
  <c r="BO156" i="1"/>
  <c r="BG156" i="1"/>
  <c r="DL156" i="1"/>
  <c r="CZ156" i="1"/>
  <c r="CL156" i="1"/>
  <c r="CA156" i="1"/>
  <c r="BM156" i="1"/>
  <c r="DJ156" i="1"/>
  <c r="CY156" i="1"/>
  <c r="CK156" i="1"/>
  <c r="BX156" i="1"/>
  <c r="BL156" i="1"/>
  <c r="DI156" i="1"/>
  <c r="CV156" i="1"/>
  <c r="CJ156" i="1"/>
  <c r="BV156" i="1"/>
  <c r="BK156" i="1"/>
  <c r="DQ156" i="1"/>
  <c r="DD156" i="1"/>
  <c r="CR156" i="1"/>
  <c r="CD156" i="1"/>
  <c r="BS156" i="1"/>
  <c r="BE156" i="1"/>
  <c r="DH156" i="1"/>
  <c r="CI156" i="1"/>
  <c r="BH156" i="1"/>
  <c r="DG156" i="1"/>
  <c r="CF156" i="1"/>
  <c r="BF156" i="1"/>
  <c r="DB156" i="1"/>
  <c r="CC156" i="1"/>
  <c r="DR156" i="1"/>
  <c r="CS156" i="1"/>
  <c r="BT156" i="1"/>
  <c r="CB156" i="1"/>
  <c r="DT156" i="1"/>
  <c r="BU156" i="1"/>
  <c r="DP156" i="1"/>
  <c r="BP156" i="1"/>
  <c r="DO156" i="1"/>
  <c r="BN156" i="1"/>
  <c r="CT156" i="1"/>
  <c r="DA156" i="1"/>
  <c r="CQ156" i="1"/>
  <c r="CN156" i="1"/>
  <c r="DJ152" i="1"/>
  <c r="DB152" i="1"/>
  <c r="CT152" i="1"/>
  <c r="CL152" i="1"/>
  <c r="CD152" i="1"/>
  <c r="BV152" i="1"/>
  <c r="BN152" i="1"/>
  <c r="BF152" i="1"/>
  <c r="DQ152" i="1"/>
  <c r="DI152" i="1"/>
  <c r="DA152" i="1"/>
  <c r="CS152" i="1"/>
  <c r="CK152" i="1"/>
  <c r="CC152" i="1"/>
  <c r="BU152" i="1"/>
  <c r="BM152" i="1"/>
  <c r="BE152" i="1"/>
  <c r="DO152" i="1"/>
  <c r="DG152" i="1"/>
  <c r="CY152" i="1"/>
  <c r="CQ152" i="1"/>
  <c r="CI152" i="1"/>
  <c r="CA152" i="1"/>
  <c r="BS152" i="1"/>
  <c r="BK152" i="1"/>
  <c r="DN152" i="1"/>
  <c r="DC152" i="1"/>
  <c r="CO152" i="1"/>
  <c r="CB152" i="1"/>
  <c r="BP152" i="1"/>
  <c r="DM152" i="1"/>
  <c r="CZ152" i="1"/>
  <c r="CN152" i="1"/>
  <c r="BZ152" i="1"/>
  <c r="BO152" i="1"/>
  <c r="DL152" i="1"/>
  <c r="CX152" i="1"/>
  <c r="CM152" i="1"/>
  <c r="BY152" i="1"/>
  <c r="BL152" i="1"/>
  <c r="DF152" i="1"/>
  <c r="CU152" i="1"/>
  <c r="CG152" i="1"/>
  <c r="BT152" i="1"/>
  <c r="BH152" i="1"/>
  <c r="DK152" i="1"/>
  <c r="CJ152" i="1"/>
  <c r="BJ152" i="1"/>
  <c r="DH152" i="1"/>
  <c r="CH152" i="1"/>
  <c r="BI152" i="1"/>
  <c r="DE152" i="1"/>
  <c r="CF152" i="1"/>
  <c r="BG152" i="1"/>
  <c r="CV152" i="1"/>
  <c r="BW152" i="1"/>
  <c r="DD152" i="1"/>
  <c r="CW152" i="1"/>
  <c r="CR152" i="1"/>
  <c r="CP152" i="1"/>
  <c r="BX152" i="1"/>
  <c r="DP152" i="1"/>
  <c r="BQ152" i="1"/>
  <c r="CE152" i="1"/>
  <c r="BR152" i="1"/>
  <c r="CW132" i="1"/>
  <c r="CO132" i="1"/>
  <c r="CG132" i="1"/>
  <c r="BY132" i="1"/>
  <c r="BQ132" i="1"/>
  <c r="BI132" i="1"/>
  <c r="CV132" i="1"/>
  <c r="CN132" i="1"/>
  <c r="CF132" i="1"/>
  <c r="BX132" i="1"/>
  <c r="BP132" i="1"/>
  <c r="BH132" i="1"/>
  <c r="CU132" i="1"/>
  <c r="CM132" i="1"/>
  <c r="CE132" i="1"/>
  <c r="BW132" i="1"/>
  <c r="BO132" i="1"/>
  <c r="BG132" i="1"/>
  <c r="CT132" i="1"/>
  <c r="CL132" i="1"/>
  <c r="CD132" i="1"/>
  <c r="BV132" i="1"/>
  <c r="BN132" i="1"/>
  <c r="BF132" i="1"/>
  <c r="CR132" i="1"/>
  <c r="CJ132" i="1"/>
  <c r="CB132" i="1"/>
  <c r="BT132" i="1"/>
  <c r="BL132" i="1"/>
  <c r="CH132" i="1"/>
  <c r="BK132" i="1"/>
  <c r="CC132" i="1"/>
  <c r="BJ132" i="1"/>
  <c r="CA132" i="1"/>
  <c r="BE132" i="1"/>
  <c r="CS132" i="1"/>
  <c r="BZ132" i="1"/>
  <c r="CQ132" i="1"/>
  <c r="BU132" i="1"/>
  <c r="CI132" i="1"/>
  <c r="BS132" i="1"/>
  <c r="BR132" i="1"/>
  <c r="CP132" i="1"/>
  <c r="BM132" i="1"/>
  <c r="CK132" i="1"/>
  <c r="DK153" i="1"/>
  <c r="DC153" i="1"/>
  <c r="CU153" i="1"/>
  <c r="CM153" i="1"/>
  <c r="CE153" i="1"/>
  <c r="BW153" i="1"/>
  <c r="BO153" i="1"/>
  <c r="BG153" i="1"/>
  <c r="DR153" i="1"/>
  <c r="DJ153" i="1"/>
  <c r="DB153" i="1"/>
  <c r="CT153" i="1"/>
  <c r="CL153" i="1"/>
  <c r="CD153" i="1"/>
  <c r="BV153" i="1"/>
  <c r="BN153" i="1"/>
  <c r="BF153" i="1"/>
  <c r="DP153" i="1"/>
  <c r="DH153" i="1"/>
  <c r="CZ153" i="1"/>
  <c r="CR153" i="1"/>
  <c r="CJ153" i="1"/>
  <c r="CB153" i="1"/>
  <c r="BT153" i="1"/>
  <c r="BL153" i="1"/>
  <c r="DG153" i="1"/>
  <c r="CV153" i="1"/>
  <c r="CH153" i="1"/>
  <c r="BU153" i="1"/>
  <c r="BI153" i="1"/>
  <c r="DF153" i="1"/>
  <c r="CS153" i="1"/>
  <c r="CG153" i="1"/>
  <c r="BS153" i="1"/>
  <c r="BH153" i="1"/>
  <c r="DQ153" i="1"/>
  <c r="DE153" i="1"/>
  <c r="CQ153" i="1"/>
  <c r="CF153" i="1"/>
  <c r="BR153" i="1"/>
  <c r="BE153" i="1"/>
  <c r="DM153" i="1"/>
  <c r="CY153" i="1"/>
  <c r="CN153" i="1"/>
  <c r="BZ153" i="1"/>
  <c r="BM153" i="1"/>
  <c r="DO153" i="1"/>
  <c r="CP153" i="1"/>
  <c r="BQ153" i="1"/>
  <c r="DN153" i="1"/>
  <c r="CO153" i="1"/>
  <c r="BP153" i="1"/>
  <c r="DL153" i="1"/>
  <c r="CK153" i="1"/>
  <c r="BK153" i="1"/>
  <c r="DA153" i="1"/>
  <c r="CA153" i="1"/>
  <c r="CI153" i="1"/>
  <c r="CC153" i="1"/>
  <c r="BY153" i="1"/>
  <c r="BX153" i="1"/>
  <c r="DD153" i="1"/>
  <c r="CX153" i="1"/>
  <c r="CW153" i="1"/>
  <c r="BJ153" i="1"/>
  <c r="DI153" i="1"/>
  <c r="CI119" i="1"/>
  <c r="CA119" i="1"/>
  <c r="BS119" i="1"/>
  <c r="BK119" i="1"/>
  <c r="CH119" i="1"/>
  <c r="BZ119" i="1"/>
  <c r="BR119" i="1"/>
  <c r="BJ119" i="1"/>
  <c r="CG119" i="1"/>
  <c r="BY119" i="1"/>
  <c r="BQ119" i="1"/>
  <c r="BI119" i="1"/>
  <c r="CD119" i="1"/>
  <c r="BV119" i="1"/>
  <c r="BN119" i="1"/>
  <c r="BF119" i="1"/>
  <c r="CB119" i="1"/>
  <c r="BL119" i="1"/>
  <c r="BX119" i="1"/>
  <c r="BH119" i="1"/>
  <c r="BW119" i="1"/>
  <c r="BG119" i="1"/>
  <c r="BU119" i="1"/>
  <c r="BE119" i="1"/>
  <c r="CF119" i="1"/>
  <c r="BP119" i="1"/>
  <c r="BM119" i="1"/>
  <c r="CE119" i="1"/>
  <c r="BO119" i="1"/>
  <c r="CJ119" i="1"/>
  <c r="CC119" i="1"/>
  <c r="BT119" i="1"/>
  <c r="CN124" i="1"/>
  <c r="CF124" i="1"/>
  <c r="BX124" i="1"/>
  <c r="BP124" i="1"/>
  <c r="BH124" i="1"/>
  <c r="CG124" i="1"/>
  <c r="BW124" i="1"/>
  <c r="BN124" i="1"/>
  <c r="BE124" i="1"/>
  <c r="CO124" i="1"/>
  <c r="CE124" i="1"/>
  <c r="BV124" i="1"/>
  <c r="BM124" i="1"/>
  <c r="CM124" i="1"/>
  <c r="CD124" i="1"/>
  <c r="BU124" i="1"/>
  <c r="BL124" i="1"/>
  <c r="CJ124" i="1"/>
  <c r="CA124" i="1"/>
  <c r="BR124" i="1"/>
  <c r="BI124" i="1"/>
  <c r="CI124" i="1"/>
  <c r="BZ124" i="1"/>
  <c r="BQ124" i="1"/>
  <c r="BG124" i="1"/>
  <c r="CB124" i="1"/>
  <c r="BY124" i="1"/>
  <c r="BT124" i="1"/>
  <c r="BS124" i="1"/>
  <c r="CK124" i="1"/>
  <c r="BK124" i="1"/>
  <c r="CL124" i="1"/>
  <c r="CH124" i="1"/>
  <c r="CC124" i="1"/>
  <c r="BO124" i="1"/>
  <c r="BJ124" i="1"/>
  <c r="BF124" i="1"/>
  <c r="CZ135" i="1"/>
  <c r="CR135" i="1"/>
  <c r="CJ135" i="1"/>
  <c r="CB135" i="1"/>
  <c r="BT135" i="1"/>
  <c r="BL135" i="1"/>
  <c r="CY135" i="1"/>
  <c r="CQ135" i="1"/>
  <c r="CI135" i="1"/>
  <c r="CA135" i="1"/>
  <c r="BS135" i="1"/>
  <c r="BK135" i="1"/>
  <c r="CX135" i="1"/>
  <c r="CP135" i="1"/>
  <c r="CH135" i="1"/>
  <c r="BZ135" i="1"/>
  <c r="BR135" i="1"/>
  <c r="BJ135" i="1"/>
  <c r="CW135" i="1"/>
  <c r="CO135" i="1"/>
  <c r="CG135" i="1"/>
  <c r="BY135" i="1"/>
  <c r="BQ135" i="1"/>
  <c r="BI135" i="1"/>
  <c r="CU135" i="1"/>
  <c r="CM135" i="1"/>
  <c r="CE135" i="1"/>
  <c r="BW135" i="1"/>
  <c r="BO135" i="1"/>
  <c r="BG135" i="1"/>
  <c r="CF135" i="1"/>
  <c r="BM135" i="1"/>
  <c r="CD135" i="1"/>
  <c r="BH135" i="1"/>
  <c r="CV135" i="1"/>
  <c r="CC135" i="1"/>
  <c r="BF135" i="1"/>
  <c r="CT135" i="1"/>
  <c r="BX135" i="1"/>
  <c r="BE135" i="1"/>
  <c r="CS135" i="1"/>
  <c r="BV135" i="1"/>
  <c r="CN135" i="1"/>
  <c r="CL135" i="1"/>
  <c r="CK135" i="1"/>
  <c r="BN135" i="1"/>
  <c r="BP135" i="1"/>
  <c r="BU135" i="1"/>
  <c r="CK121" i="1"/>
  <c r="CC121" i="1"/>
  <c r="BU121" i="1"/>
  <c r="BM121" i="1"/>
  <c r="BE121" i="1"/>
  <c r="CJ121" i="1"/>
  <c r="CB121" i="1"/>
  <c r="BT121" i="1"/>
  <c r="BL121" i="1"/>
  <c r="CI121" i="1"/>
  <c r="CA121" i="1"/>
  <c r="BS121" i="1"/>
  <c r="BK121" i="1"/>
  <c r="CF121" i="1"/>
  <c r="BX121" i="1"/>
  <c r="BP121" i="1"/>
  <c r="BH121" i="1"/>
  <c r="CE121" i="1"/>
  <c r="BW121" i="1"/>
  <c r="BO121" i="1"/>
  <c r="BG121" i="1"/>
  <c r="BR121" i="1"/>
  <c r="CL121" i="1"/>
  <c r="BQ121" i="1"/>
  <c r="CH121" i="1"/>
  <c r="BN121" i="1"/>
  <c r="CG121" i="1"/>
  <c r="BJ121" i="1"/>
  <c r="BZ121" i="1"/>
  <c r="BF121" i="1"/>
  <c r="BV121" i="1"/>
  <c r="BI121" i="1"/>
  <c r="BY121" i="1"/>
  <c r="CD121" i="1"/>
  <c r="DC142" i="1"/>
  <c r="CU142" i="1"/>
  <c r="CM142" i="1"/>
  <c r="CE142" i="1"/>
  <c r="BW142" i="1"/>
  <c r="BO142" i="1"/>
  <c r="BG142" i="1"/>
  <c r="DB142" i="1"/>
  <c r="CT142" i="1"/>
  <c r="CL142" i="1"/>
  <c r="CD142" i="1"/>
  <c r="BV142" i="1"/>
  <c r="BN142" i="1"/>
  <c r="BF142" i="1"/>
  <c r="DA142" i="1"/>
  <c r="CS142" i="1"/>
  <c r="CK142" i="1"/>
  <c r="CC142" i="1"/>
  <c r="BU142" i="1"/>
  <c r="BM142" i="1"/>
  <c r="BE142" i="1"/>
  <c r="DF142" i="1"/>
  <c r="CX142" i="1"/>
  <c r="CP142" i="1"/>
  <c r="CH142" i="1"/>
  <c r="BZ142" i="1"/>
  <c r="BR142" i="1"/>
  <c r="BJ142" i="1"/>
  <c r="CZ142" i="1"/>
  <c r="CJ142" i="1"/>
  <c r="BT142" i="1"/>
  <c r="CY142" i="1"/>
  <c r="CI142" i="1"/>
  <c r="BS142" i="1"/>
  <c r="CW142" i="1"/>
  <c r="CG142" i="1"/>
  <c r="BQ142" i="1"/>
  <c r="CV142" i="1"/>
  <c r="CF142" i="1"/>
  <c r="BP142" i="1"/>
  <c r="DG142" i="1"/>
  <c r="CQ142" i="1"/>
  <c r="CA142" i="1"/>
  <c r="BK142" i="1"/>
  <c r="CR142" i="1"/>
  <c r="BH142" i="1"/>
  <c r="CO142" i="1"/>
  <c r="CN142" i="1"/>
  <c r="CB142" i="1"/>
  <c r="BY142" i="1"/>
  <c r="DE142" i="1"/>
  <c r="BL142" i="1"/>
  <c r="BI142" i="1"/>
  <c r="BX142" i="1"/>
  <c r="DD142" i="1"/>
  <c r="DE144" i="1"/>
  <c r="CW144" i="1"/>
  <c r="CO144" i="1"/>
  <c r="CG144" i="1"/>
  <c r="BY144" i="1"/>
  <c r="BQ144" i="1"/>
  <c r="BI144" i="1"/>
  <c r="DD144" i="1"/>
  <c r="CV144" i="1"/>
  <c r="CN144" i="1"/>
  <c r="CF144" i="1"/>
  <c r="BX144" i="1"/>
  <c r="BP144" i="1"/>
  <c r="BH144" i="1"/>
  <c r="DC144" i="1"/>
  <c r="CU144" i="1"/>
  <c r="CM144" i="1"/>
  <c r="CE144" i="1"/>
  <c r="BW144" i="1"/>
  <c r="BO144" i="1"/>
  <c r="BG144" i="1"/>
  <c r="DH144" i="1"/>
  <c r="CZ144" i="1"/>
  <c r="CR144" i="1"/>
  <c r="CJ144" i="1"/>
  <c r="CB144" i="1"/>
  <c r="BT144" i="1"/>
  <c r="BL144" i="1"/>
  <c r="DB144" i="1"/>
  <c r="CL144" i="1"/>
  <c r="BV144" i="1"/>
  <c r="BF144" i="1"/>
  <c r="DA144" i="1"/>
  <c r="CK144" i="1"/>
  <c r="BU144" i="1"/>
  <c r="BE144" i="1"/>
  <c r="CY144" i="1"/>
  <c r="CI144" i="1"/>
  <c r="BS144" i="1"/>
  <c r="CX144" i="1"/>
  <c r="CH144" i="1"/>
  <c r="BR144" i="1"/>
  <c r="DI144" i="1"/>
  <c r="CS144" i="1"/>
  <c r="CC144" i="1"/>
  <c r="BM144" i="1"/>
  <c r="CD144" i="1"/>
  <c r="CA144" i="1"/>
  <c r="BZ144" i="1"/>
  <c r="DG144" i="1"/>
  <c r="BN144" i="1"/>
  <c r="DF144" i="1"/>
  <c r="BK144" i="1"/>
  <c r="CT144" i="1"/>
  <c r="CQ144" i="1"/>
  <c r="CP144" i="1"/>
  <c r="BJ144" i="1"/>
  <c r="DI151" i="1"/>
  <c r="DA151" i="1"/>
  <c r="CS151" i="1"/>
  <c r="CK151" i="1"/>
  <c r="CC151" i="1"/>
  <c r="BU151" i="1"/>
  <c r="BM151" i="1"/>
  <c r="BE151" i="1"/>
  <c r="DP151" i="1"/>
  <c r="DH151" i="1"/>
  <c r="CZ151" i="1"/>
  <c r="CR151" i="1"/>
  <c r="CJ151" i="1"/>
  <c r="CB151" i="1"/>
  <c r="BT151" i="1"/>
  <c r="BL151" i="1"/>
  <c r="DN151" i="1"/>
  <c r="DF151" i="1"/>
  <c r="CX151" i="1"/>
  <c r="CP151" i="1"/>
  <c r="CH151" i="1"/>
  <c r="BZ151" i="1"/>
  <c r="BR151" i="1"/>
  <c r="BJ151" i="1"/>
  <c r="DJ151" i="1"/>
  <c r="CV151" i="1"/>
  <c r="CI151" i="1"/>
  <c r="BW151" i="1"/>
  <c r="BI151" i="1"/>
  <c r="DG151" i="1"/>
  <c r="CU151" i="1"/>
  <c r="CG151" i="1"/>
  <c r="BV151" i="1"/>
  <c r="BH151" i="1"/>
  <c r="DE151" i="1"/>
  <c r="CT151" i="1"/>
  <c r="CF151" i="1"/>
  <c r="BS151" i="1"/>
  <c r="BG151" i="1"/>
  <c r="DM151" i="1"/>
  <c r="DB151" i="1"/>
  <c r="CN151" i="1"/>
  <c r="CA151" i="1"/>
  <c r="BO151" i="1"/>
  <c r="DD151" i="1"/>
  <c r="CE151" i="1"/>
  <c r="BF151" i="1"/>
  <c r="DC151" i="1"/>
  <c r="CD151" i="1"/>
  <c r="CY151" i="1"/>
  <c r="BY151" i="1"/>
  <c r="DO151" i="1"/>
  <c r="CO151" i="1"/>
  <c r="BP151" i="1"/>
  <c r="BX151" i="1"/>
  <c r="BQ151" i="1"/>
  <c r="DL151" i="1"/>
  <c r="BN151" i="1"/>
  <c r="DK151" i="1"/>
  <c r="BK151" i="1"/>
  <c r="CQ151" i="1"/>
  <c r="CW151" i="1"/>
  <c r="CM151" i="1"/>
  <c r="CL151" i="1"/>
  <c r="BE89" i="1"/>
  <c r="BF89" i="1"/>
  <c r="DF148" i="1"/>
  <c r="CX148" i="1"/>
  <c r="CP148" i="1"/>
  <c r="DK148" i="1"/>
  <c r="DC148" i="1"/>
  <c r="CU148" i="1"/>
  <c r="CM148" i="1"/>
  <c r="DH148" i="1"/>
  <c r="CW148" i="1"/>
  <c r="CL148" i="1"/>
  <c r="CD148" i="1"/>
  <c r="BV148" i="1"/>
  <c r="BN148" i="1"/>
  <c r="BF148" i="1"/>
  <c r="DG148" i="1"/>
  <c r="CV148" i="1"/>
  <c r="CK148" i="1"/>
  <c r="CC148" i="1"/>
  <c r="BU148" i="1"/>
  <c r="BM148" i="1"/>
  <c r="BE148" i="1"/>
  <c r="DE148" i="1"/>
  <c r="CT148" i="1"/>
  <c r="CJ148" i="1"/>
  <c r="CB148" i="1"/>
  <c r="BT148" i="1"/>
  <c r="BL148" i="1"/>
  <c r="DL148" i="1"/>
  <c r="DA148" i="1"/>
  <c r="CQ148" i="1"/>
  <c r="CG148" i="1"/>
  <c r="BY148" i="1"/>
  <c r="BQ148" i="1"/>
  <c r="BI148" i="1"/>
  <c r="CS148" i="1"/>
  <c r="CA148" i="1"/>
  <c r="BK148" i="1"/>
  <c r="DM148" i="1"/>
  <c r="CR148" i="1"/>
  <c r="BZ148" i="1"/>
  <c r="BJ148" i="1"/>
  <c r="DJ148" i="1"/>
  <c r="CO148" i="1"/>
  <c r="BX148" i="1"/>
  <c r="BH148" i="1"/>
  <c r="DB148" i="1"/>
  <c r="CH148" i="1"/>
  <c r="BR148" i="1"/>
  <c r="DI148" i="1"/>
  <c r="BW148" i="1"/>
  <c r="DD148" i="1"/>
  <c r="BS148" i="1"/>
  <c r="CZ148" i="1"/>
  <c r="BP148" i="1"/>
  <c r="CY148" i="1"/>
  <c r="BO148" i="1"/>
  <c r="CI148" i="1"/>
  <c r="CF148" i="1"/>
  <c r="CE148" i="1"/>
  <c r="BG148" i="1"/>
  <c r="CN148" i="1"/>
  <c r="DH146" i="1"/>
  <c r="CZ146" i="1"/>
  <c r="CR146" i="1"/>
  <c r="CJ146" i="1"/>
  <c r="CB146" i="1"/>
  <c r="BT146" i="1"/>
  <c r="BL146" i="1"/>
  <c r="DG146" i="1"/>
  <c r="CY146" i="1"/>
  <c r="CQ146" i="1"/>
  <c r="CI146" i="1"/>
  <c r="CA146" i="1"/>
  <c r="BS146" i="1"/>
  <c r="BK146" i="1"/>
  <c r="DF146" i="1"/>
  <c r="CX146" i="1"/>
  <c r="CP146" i="1"/>
  <c r="CH146" i="1"/>
  <c r="BZ146" i="1"/>
  <c r="BR146" i="1"/>
  <c r="BJ146" i="1"/>
  <c r="DK146" i="1"/>
  <c r="DC146" i="1"/>
  <c r="CU146" i="1"/>
  <c r="CM146" i="1"/>
  <c r="CE146" i="1"/>
  <c r="BW146" i="1"/>
  <c r="BO146" i="1"/>
  <c r="BG146" i="1"/>
  <c r="DE146" i="1"/>
  <c r="CO146" i="1"/>
  <c r="BY146" i="1"/>
  <c r="BI146" i="1"/>
  <c r="DD146" i="1"/>
  <c r="CN146" i="1"/>
  <c r="BX146" i="1"/>
  <c r="BH146" i="1"/>
  <c r="DB146" i="1"/>
  <c r="CL146" i="1"/>
  <c r="BV146" i="1"/>
  <c r="BF146" i="1"/>
  <c r="CV146" i="1"/>
  <c r="CF146" i="1"/>
  <c r="BP146" i="1"/>
  <c r="CK146" i="1"/>
  <c r="BE146" i="1"/>
  <c r="CG146" i="1"/>
  <c r="DJ146" i="1"/>
  <c r="CD146" i="1"/>
  <c r="DI146" i="1"/>
  <c r="CC146" i="1"/>
  <c r="CW146" i="1"/>
  <c r="BQ146" i="1"/>
  <c r="BM146" i="1"/>
  <c r="DA146" i="1"/>
  <c r="CT146" i="1"/>
  <c r="CS146" i="1"/>
  <c r="BU146" i="1"/>
  <c r="BN146" i="1"/>
  <c r="DB137" i="1"/>
  <c r="CT137" i="1"/>
  <c r="CL137" i="1"/>
  <c r="CD137" i="1"/>
  <c r="BV137" i="1"/>
  <c r="BN137" i="1"/>
  <c r="BF137" i="1"/>
  <c r="DA137" i="1"/>
  <c r="CS137" i="1"/>
  <c r="CK137" i="1"/>
  <c r="CC137" i="1"/>
  <c r="BU137" i="1"/>
  <c r="BM137" i="1"/>
  <c r="BE137" i="1"/>
  <c r="CZ137" i="1"/>
  <c r="CR137" i="1"/>
  <c r="CJ137" i="1"/>
  <c r="CB137" i="1"/>
  <c r="BT137" i="1"/>
  <c r="BL137" i="1"/>
  <c r="CY137" i="1"/>
  <c r="CQ137" i="1"/>
  <c r="CI137" i="1"/>
  <c r="CA137" i="1"/>
  <c r="BS137" i="1"/>
  <c r="BK137" i="1"/>
  <c r="CW137" i="1"/>
  <c r="CO137" i="1"/>
  <c r="CG137" i="1"/>
  <c r="BY137" i="1"/>
  <c r="BQ137" i="1"/>
  <c r="BI137" i="1"/>
  <c r="CN137" i="1"/>
  <c r="BR137" i="1"/>
  <c r="CM137" i="1"/>
  <c r="BP137" i="1"/>
  <c r="CH137" i="1"/>
  <c r="BO137" i="1"/>
  <c r="CF137" i="1"/>
  <c r="BJ137" i="1"/>
  <c r="CX137" i="1"/>
  <c r="CE137" i="1"/>
  <c r="BH137" i="1"/>
  <c r="BW137" i="1"/>
  <c r="BG137" i="1"/>
  <c r="CP137" i="1"/>
  <c r="BZ137" i="1"/>
  <c r="CV137" i="1"/>
  <c r="BX137" i="1"/>
  <c r="CU137" i="1"/>
  <c r="CX133" i="1"/>
  <c r="CP133" i="1"/>
  <c r="CH133" i="1"/>
  <c r="BZ133" i="1"/>
  <c r="BR133" i="1"/>
  <c r="BJ133" i="1"/>
  <c r="CW133" i="1"/>
  <c r="CO133" i="1"/>
  <c r="CG133" i="1"/>
  <c r="BY133" i="1"/>
  <c r="BQ133" i="1"/>
  <c r="BI133" i="1"/>
  <c r="CV133" i="1"/>
  <c r="CN133" i="1"/>
  <c r="CF133" i="1"/>
  <c r="BX133" i="1"/>
  <c r="BP133" i="1"/>
  <c r="BH133" i="1"/>
  <c r="CU133" i="1"/>
  <c r="CM133" i="1"/>
  <c r="CE133" i="1"/>
  <c r="BW133" i="1"/>
  <c r="BO133" i="1"/>
  <c r="BG133" i="1"/>
  <c r="CS133" i="1"/>
  <c r="CK133" i="1"/>
  <c r="CC133" i="1"/>
  <c r="BU133" i="1"/>
  <c r="BM133" i="1"/>
  <c r="BE133" i="1"/>
  <c r="CT133" i="1"/>
  <c r="CA133" i="1"/>
  <c r="CR133" i="1"/>
  <c r="BV133" i="1"/>
  <c r="CQ133" i="1"/>
  <c r="BT133" i="1"/>
  <c r="CL133" i="1"/>
  <c r="BS133" i="1"/>
  <c r="CJ133" i="1"/>
  <c r="BN133" i="1"/>
  <c r="BL133" i="1"/>
  <c r="BK133" i="1"/>
  <c r="BF133" i="1"/>
  <c r="CI133" i="1"/>
  <c r="CD133" i="1"/>
  <c r="CB133" i="1"/>
  <c r="CJ120" i="1"/>
  <c r="CB120" i="1"/>
  <c r="BT120" i="1"/>
  <c r="BL120" i="1"/>
  <c r="CI120" i="1"/>
  <c r="CA120" i="1"/>
  <c r="BS120" i="1"/>
  <c r="BK120" i="1"/>
  <c r="CH120" i="1"/>
  <c r="BZ120" i="1"/>
  <c r="BR120" i="1"/>
  <c r="BJ120" i="1"/>
  <c r="CE120" i="1"/>
  <c r="BW120" i="1"/>
  <c r="BO120" i="1"/>
  <c r="BG120" i="1"/>
  <c r="CD120" i="1"/>
  <c r="BV120" i="1"/>
  <c r="BN120" i="1"/>
  <c r="BF120" i="1"/>
  <c r="BY120" i="1"/>
  <c r="BE120" i="1"/>
  <c r="BX120" i="1"/>
  <c r="BU120" i="1"/>
  <c r="BQ120" i="1"/>
  <c r="CG120" i="1"/>
  <c r="BM120" i="1"/>
  <c r="CF120" i="1"/>
  <c r="CC120" i="1"/>
  <c r="BP120" i="1"/>
  <c r="CK120" i="1"/>
  <c r="BI120" i="1"/>
  <c r="BH120" i="1"/>
  <c r="CQ127" i="1"/>
  <c r="CI127" i="1"/>
  <c r="CA127" i="1"/>
  <c r="BS127" i="1"/>
  <c r="BK127" i="1"/>
  <c r="CP127" i="1"/>
  <c r="CH127" i="1"/>
  <c r="BZ127" i="1"/>
  <c r="CM127" i="1"/>
  <c r="CE127" i="1"/>
  <c r="BW127" i="1"/>
  <c r="BO127" i="1"/>
  <c r="BG127" i="1"/>
  <c r="CG127" i="1"/>
  <c r="BU127" i="1"/>
  <c r="BJ127" i="1"/>
  <c r="CF127" i="1"/>
  <c r="BT127" i="1"/>
  <c r="BI127" i="1"/>
  <c r="CR127" i="1"/>
  <c r="CD127" i="1"/>
  <c r="BR127" i="1"/>
  <c r="BH127" i="1"/>
  <c r="BY127" i="1"/>
  <c r="BF127" i="1"/>
  <c r="CO127" i="1"/>
  <c r="BX127" i="1"/>
  <c r="BE127" i="1"/>
  <c r="CN127" i="1"/>
  <c r="BV127" i="1"/>
  <c r="CJ127" i="1"/>
  <c r="BN127" i="1"/>
  <c r="CC127" i="1"/>
  <c r="BM127" i="1"/>
  <c r="BP127" i="1"/>
  <c r="BL127" i="1"/>
  <c r="CK127" i="1"/>
  <c r="BQ127" i="1"/>
  <c r="CB127" i="1"/>
  <c r="CL127" i="1"/>
  <c r="BH98" i="1"/>
  <c r="BO98" i="1"/>
  <c r="BG98" i="1"/>
  <c r="BN98" i="1"/>
  <c r="BF98" i="1"/>
  <c r="BK98" i="1"/>
  <c r="BJ98" i="1"/>
  <c r="BL98" i="1"/>
  <c r="BI98" i="1"/>
  <c r="BE98" i="1"/>
  <c r="BM98" i="1"/>
  <c r="DW80" i="1"/>
  <c r="DW157" i="1" s="1"/>
  <c r="DO157" i="1"/>
  <c r="DG157" i="1"/>
  <c r="CY157" i="1"/>
  <c r="CQ157" i="1"/>
  <c r="CI157" i="1"/>
  <c r="CA157" i="1"/>
  <c r="BS157" i="1"/>
  <c r="BK157" i="1"/>
  <c r="DV157" i="1"/>
  <c r="DN157" i="1"/>
  <c r="DF157" i="1"/>
  <c r="CX157" i="1"/>
  <c r="CP157" i="1"/>
  <c r="CH157" i="1"/>
  <c r="BZ157" i="1"/>
  <c r="BR157" i="1"/>
  <c r="BJ157" i="1"/>
  <c r="DU157" i="1"/>
  <c r="DT157" i="1"/>
  <c r="DL157" i="1"/>
  <c r="DD157" i="1"/>
  <c r="CV157" i="1"/>
  <c r="CN157" i="1"/>
  <c r="CF157" i="1"/>
  <c r="BX157" i="1"/>
  <c r="BP157" i="1"/>
  <c r="BH157" i="1"/>
  <c r="DR157" i="1"/>
  <c r="DS157" i="1"/>
  <c r="DE157" i="1"/>
  <c r="CS157" i="1"/>
  <c r="CE157" i="1"/>
  <c r="BT157" i="1"/>
  <c r="BF157" i="1"/>
  <c r="DQ157" i="1"/>
  <c r="DC157" i="1"/>
  <c r="CR157" i="1"/>
  <c r="CD157" i="1"/>
  <c r="BQ157" i="1"/>
  <c r="BE157" i="1"/>
  <c r="DP157" i="1"/>
  <c r="DB157" i="1"/>
  <c r="CO157" i="1"/>
  <c r="CC157" i="1"/>
  <c r="BO157" i="1"/>
  <c r="DJ157" i="1"/>
  <c r="CW157" i="1"/>
  <c r="CK157" i="1"/>
  <c r="BW157" i="1"/>
  <c r="BL157" i="1"/>
  <c r="DM157" i="1"/>
  <c r="CM157" i="1"/>
  <c r="BN157" i="1"/>
  <c r="DK157" i="1"/>
  <c r="CL157" i="1"/>
  <c r="BM157" i="1"/>
  <c r="DI157" i="1"/>
  <c r="CJ157" i="1"/>
  <c r="BI157" i="1"/>
  <c r="CZ157" i="1"/>
  <c r="BY157" i="1"/>
  <c r="DH157" i="1"/>
  <c r="BG157" i="1"/>
  <c r="DA157" i="1"/>
  <c r="CU157" i="1"/>
  <c r="CT157" i="1"/>
  <c r="CB157" i="1"/>
  <c r="CG157" i="1"/>
  <c r="BV157" i="1"/>
  <c r="BU157" i="1"/>
  <c r="DI147" i="1"/>
  <c r="DA147" i="1"/>
  <c r="CS147" i="1"/>
  <c r="CK147" i="1"/>
  <c r="CC147" i="1"/>
  <c r="BU147" i="1"/>
  <c r="BM147" i="1"/>
  <c r="BE147" i="1"/>
  <c r="DH147" i="1"/>
  <c r="CZ147" i="1"/>
  <c r="CR147" i="1"/>
  <c r="CJ147" i="1"/>
  <c r="CB147" i="1"/>
  <c r="BT147" i="1"/>
  <c r="BL147" i="1"/>
  <c r="DG147" i="1"/>
  <c r="CY147" i="1"/>
  <c r="CQ147" i="1"/>
  <c r="CI147" i="1"/>
  <c r="CA147" i="1"/>
  <c r="BS147" i="1"/>
  <c r="BK147" i="1"/>
  <c r="DL147" i="1"/>
  <c r="DD147" i="1"/>
  <c r="CV147" i="1"/>
  <c r="CN147" i="1"/>
  <c r="CF147" i="1"/>
  <c r="BX147" i="1"/>
  <c r="BP147" i="1"/>
  <c r="BH147" i="1"/>
  <c r="CX147" i="1"/>
  <c r="CH147" i="1"/>
  <c r="BR147" i="1"/>
  <c r="CW147" i="1"/>
  <c r="CG147" i="1"/>
  <c r="BQ147" i="1"/>
  <c r="DK147" i="1"/>
  <c r="CU147" i="1"/>
  <c r="CE147" i="1"/>
  <c r="BO147" i="1"/>
  <c r="DE147" i="1"/>
  <c r="CO147" i="1"/>
  <c r="BY147" i="1"/>
  <c r="BI147" i="1"/>
  <c r="DJ147" i="1"/>
  <c r="CD147" i="1"/>
  <c r="DF147" i="1"/>
  <c r="BZ147" i="1"/>
  <c r="DC147" i="1"/>
  <c r="BW147" i="1"/>
  <c r="DB147" i="1"/>
  <c r="BV147" i="1"/>
  <c r="CP147" i="1"/>
  <c r="BJ147" i="1"/>
  <c r="BN147" i="1"/>
  <c r="BG147" i="1"/>
  <c r="BF147" i="1"/>
  <c r="CM147" i="1"/>
  <c r="CL147" i="1"/>
  <c r="CT147" i="1"/>
  <c r="BG97" i="1"/>
  <c r="BN97" i="1"/>
  <c r="BF97" i="1"/>
  <c r="BM97" i="1"/>
  <c r="BE97" i="1"/>
  <c r="BJ97" i="1"/>
  <c r="BL97" i="1"/>
  <c r="BI97" i="1"/>
  <c r="BK97" i="1"/>
  <c r="BH97" i="1"/>
  <c r="BF91" i="1"/>
  <c r="BG91" i="1"/>
  <c r="BE91" i="1"/>
  <c r="BH91" i="1"/>
  <c r="DM155" i="1"/>
  <c r="DE155" i="1"/>
  <c r="CW155" i="1"/>
  <c r="CO155" i="1"/>
  <c r="CG155" i="1"/>
  <c r="BY155" i="1"/>
  <c r="BQ155" i="1"/>
  <c r="BI155" i="1"/>
  <c r="DT155" i="1"/>
  <c r="DL155" i="1"/>
  <c r="DD155" i="1"/>
  <c r="CV155" i="1"/>
  <c r="CN155" i="1"/>
  <c r="CF155" i="1"/>
  <c r="BX155" i="1"/>
  <c r="BP155" i="1"/>
  <c r="BH155" i="1"/>
  <c r="DR155" i="1"/>
  <c r="DJ155" i="1"/>
  <c r="DB155" i="1"/>
  <c r="CT155" i="1"/>
  <c r="CL155" i="1"/>
  <c r="CD155" i="1"/>
  <c r="BV155" i="1"/>
  <c r="BN155" i="1"/>
  <c r="BF155" i="1"/>
  <c r="DS155" i="1"/>
  <c r="DG155" i="1"/>
  <c r="CS155" i="1"/>
  <c r="CH155" i="1"/>
  <c r="BT155" i="1"/>
  <c r="BG155" i="1"/>
  <c r="DQ155" i="1"/>
  <c r="DF155" i="1"/>
  <c r="CR155" i="1"/>
  <c r="CE155" i="1"/>
  <c r="BS155" i="1"/>
  <c r="BE155" i="1"/>
  <c r="DP155" i="1"/>
  <c r="DC155" i="1"/>
  <c r="CQ155" i="1"/>
  <c r="CC155" i="1"/>
  <c r="BR155" i="1"/>
  <c r="DK155" i="1"/>
  <c r="CY155" i="1"/>
  <c r="CK155" i="1"/>
  <c r="BZ155" i="1"/>
  <c r="BL155" i="1"/>
  <c r="DA155" i="1"/>
  <c r="CB155" i="1"/>
  <c r="CZ155" i="1"/>
  <c r="CA155" i="1"/>
  <c r="CX155" i="1"/>
  <c r="BW155" i="1"/>
  <c r="DN155" i="1"/>
  <c r="CM155" i="1"/>
  <c r="BM155" i="1"/>
  <c r="CU155" i="1"/>
  <c r="CP155" i="1"/>
  <c r="CJ155" i="1"/>
  <c r="CI155" i="1"/>
  <c r="DO155" i="1"/>
  <c r="BO155" i="1"/>
  <c r="DH155" i="1"/>
  <c r="BU155" i="1"/>
  <c r="BK155" i="1"/>
  <c r="BJ155" i="1"/>
  <c r="DI155" i="1"/>
  <c r="DG145" i="1"/>
  <c r="CY145" i="1"/>
  <c r="CQ145" i="1"/>
  <c r="CI145" i="1"/>
  <c r="CA145" i="1"/>
  <c r="BS145" i="1"/>
  <c r="BK145" i="1"/>
  <c r="DF145" i="1"/>
  <c r="CX145" i="1"/>
  <c r="CP145" i="1"/>
  <c r="CH145" i="1"/>
  <c r="BZ145" i="1"/>
  <c r="BR145" i="1"/>
  <c r="DE145" i="1"/>
  <c r="CW145" i="1"/>
  <c r="CO145" i="1"/>
  <c r="CG145" i="1"/>
  <c r="BY145" i="1"/>
  <c r="BQ145" i="1"/>
  <c r="DJ145" i="1"/>
  <c r="DB145" i="1"/>
  <c r="CT145" i="1"/>
  <c r="CV145" i="1"/>
  <c r="CJ145" i="1"/>
  <c r="BV145" i="1"/>
  <c r="BJ145" i="1"/>
  <c r="CU145" i="1"/>
  <c r="CF145" i="1"/>
  <c r="BU145" i="1"/>
  <c r="BI145" i="1"/>
  <c r="DI145" i="1"/>
  <c r="CS145" i="1"/>
  <c r="CE145" i="1"/>
  <c r="BT145" i="1"/>
  <c r="BH145" i="1"/>
  <c r="DC145" i="1"/>
  <c r="CM145" i="1"/>
  <c r="CB145" i="1"/>
  <c r="BN145" i="1"/>
  <c r="BE145" i="1"/>
  <c r="CR145" i="1"/>
  <c r="BP145" i="1"/>
  <c r="CN145" i="1"/>
  <c r="BO145" i="1"/>
  <c r="CL145" i="1"/>
  <c r="BM145" i="1"/>
  <c r="CK145" i="1"/>
  <c r="BL145" i="1"/>
  <c r="DD145" i="1"/>
  <c r="CC145" i="1"/>
  <c r="BF145" i="1"/>
  <c r="DH145" i="1"/>
  <c r="DA145" i="1"/>
  <c r="CZ145" i="1"/>
  <c r="CD145" i="1"/>
  <c r="BX145" i="1"/>
  <c r="BW145" i="1"/>
  <c r="BG145" i="1"/>
  <c r="BG92" i="1"/>
  <c r="BF92" i="1"/>
  <c r="BE92" i="1"/>
  <c r="BI92" i="1"/>
  <c r="BH92" i="1"/>
  <c r="CS129" i="1"/>
  <c r="CK129" i="1"/>
  <c r="CC129" i="1"/>
  <c r="BU129" i="1"/>
  <c r="BM129" i="1"/>
  <c r="BE129" i="1"/>
  <c r="CR129" i="1"/>
  <c r="CJ129" i="1"/>
  <c r="CB129" i="1"/>
  <c r="BT129" i="1"/>
  <c r="BL129" i="1"/>
  <c r="CO129" i="1"/>
  <c r="CG129" i="1"/>
  <c r="BY129" i="1"/>
  <c r="BQ129" i="1"/>
  <c r="BI129" i="1"/>
  <c r="CI129" i="1"/>
  <c r="BW129" i="1"/>
  <c r="BJ129" i="1"/>
  <c r="CT129" i="1"/>
  <c r="CF129" i="1"/>
  <c r="BS129" i="1"/>
  <c r="BG129" i="1"/>
  <c r="CQ129" i="1"/>
  <c r="CE129" i="1"/>
  <c r="BR129" i="1"/>
  <c r="BF129" i="1"/>
  <c r="CP129" i="1"/>
  <c r="CD129" i="1"/>
  <c r="BP129" i="1"/>
  <c r="CM129" i="1"/>
  <c r="BN129" i="1"/>
  <c r="CL129" i="1"/>
  <c r="BK129" i="1"/>
  <c r="CH129" i="1"/>
  <c r="BH129" i="1"/>
  <c r="BX129" i="1"/>
  <c r="BV129" i="1"/>
  <c r="CN129" i="1"/>
  <c r="CA129" i="1"/>
  <c r="BZ129" i="1"/>
  <c r="BO129" i="1"/>
  <c r="CL122" i="1"/>
  <c r="CD122" i="1"/>
  <c r="BV122" i="1"/>
  <c r="BN122" i="1"/>
  <c r="BF122" i="1"/>
  <c r="CK122" i="1"/>
  <c r="CC122" i="1"/>
  <c r="BU122" i="1"/>
  <c r="BM122" i="1"/>
  <c r="BE122" i="1"/>
  <c r="CJ122" i="1"/>
  <c r="CB122" i="1"/>
  <c r="BT122" i="1"/>
  <c r="BL122" i="1"/>
  <c r="CG122" i="1"/>
  <c r="BY122" i="1"/>
  <c r="BQ122" i="1"/>
  <c r="BI122" i="1"/>
  <c r="CF122" i="1"/>
  <c r="BX122" i="1"/>
  <c r="BP122" i="1"/>
  <c r="BH122" i="1"/>
  <c r="CH122" i="1"/>
  <c r="BK122" i="1"/>
  <c r="CE122" i="1"/>
  <c r="BJ122" i="1"/>
  <c r="CA122" i="1"/>
  <c r="BG122" i="1"/>
  <c r="BZ122" i="1"/>
  <c r="BS122" i="1"/>
  <c r="CM122" i="1"/>
  <c r="CI122" i="1"/>
  <c r="BW122" i="1"/>
  <c r="BR122" i="1"/>
  <c r="BO122" i="1"/>
  <c r="DL154" i="1"/>
  <c r="DD154" i="1"/>
  <c r="CV154" i="1"/>
  <c r="CN154" i="1"/>
  <c r="CF154" i="1"/>
  <c r="BX154" i="1"/>
  <c r="BP154" i="1"/>
  <c r="BH154" i="1"/>
  <c r="DS154" i="1"/>
  <c r="DK154" i="1"/>
  <c r="DC154" i="1"/>
  <c r="CU154" i="1"/>
  <c r="CM154" i="1"/>
  <c r="CE154" i="1"/>
  <c r="BW154" i="1"/>
  <c r="BO154" i="1"/>
  <c r="BG154" i="1"/>
  <c r="DQ154" i="1"/>
  <c r="DI154" i="1"/>
  <c r="DA154" i="1"/>
  <c r="CS154" i="1"/>
  <c r="CK154" i="1"/>
  <c r="CC154" i="1"/>
  <c r="BU154" i="1"/>
  <c r="BM154" i="1"/>
  <c r="BE154" i="1"/>
  <c r="DN154" i="1"/>
  <c r="CZ154" i="1"/>
  <c r="CO154" i="1"/>
  <c r="CA154" i="1"/>
  <c r="BN154" i="1"/>
  <c r="DM154" i="1"/>
  <c r="CY154" i="1"/>
  <c r="CL154" i="1"/>
  <c r="BZ154" i="1"/>
  <c r="BL154" i="1"/>
  <c r="DJ154" i="1"/>
  <c r="CX154" i="1"/>
  <c r="CJ154" i="1"/>
  <c r="BY154" i="1"/>
  <c r="BK154" i="1"/>
  <c r="DR154" i="1"/>
  <c r="DF154" i="1"/>
  <c r="CR154" i="1"/>
  <c r="CG154" i="1"/>
  <c r="BS154" i="1"/>
  <c r="BF154" i="1"/>
  <c r="CW154" i="1"/>
  <c r="BV154" i="1"/>
  <c r="CT154" i="1"/>
  <c r="BT154" i="1"/>
  <c r="DP154" i="1"/>
  <c r="CQ154" i="1"/>
  <c r="BR154" i="1"/>
  <c r="DG154" i="1"/>
  <c r="CH154" i="1"/>
  <c r="BI154" i="1"/>
  <c r="DO154" i="1"/>
  <c r="BQ154" i="1"/>
  <c r="DH154" i="1"/>
  <c r="BJ154" i="1"/>
  <c r="DE154" i="1"/>
  <c r="DB154" i="1"/>
  <c r="CI154" i="1"/>
  <c r="CP154" i="1"/>
  <c r="CD154" i="1"/>
  <c r="CB154" i="1"/>
  <c r="BJ95" i="1"/>
  <c r="BI95" i="1"/>
  <c r="BF95" i="1"/>
  <c r="BH95" i="1"/>
  <c r="BG95" i="1"/>
  <c r="BE95" i="1"/>
  <c r="BL95" i="1"/>
  <c r="BK95" i="1"/>
  <c r="DB141" i="1"/>
  <c r="CT141" i="1"/>
  <c r="CL141" i="1"/>
  <c r="CD141" i="1"/>
  <c r="BV141" i="1"/>
  <c r="DA141" i="1"/>
  <c r="CS141" i="1"/>
  <c r="CK141" i="1"/>
  <c r="CC141" i="1"/>
  <c r="BU141" i="1"/>
  <c r="BM141" i="1"/>
  <c r="BE141" i="1"/>
  <c r="CZ141" i="1"/>
  <c r="CR141" i="1"/>
  <c r="CJ141" i="1"/>
  <c r="CB141" i="1"/>
  <c r="DE141" i="1"/>
  <c r="CW141" i="1"/>
  <c r="CO141" i="1"/>
  <c r="CG141" i="1"/>
  <c r="BY141" i="1"/>
  <c r="BQ141" i="1"/>
  <c r="BI141" i="1"/>
  <c r="CQ141" i="1"/>
  <c r="CA141" i="1"/>
  <c r="BO141" i="1"/>
  <c r="DF141" i="1"/>
  <c r="CP141" i="1"/>
  <c r="BZ141" i="1"/>
  <c r="BN141" i="1"/>
  <c r="DD141" i="1"/>
  <c r="CN141" i="1"/>
  <c r="BX141" i="1"/>
  <c r="BL141" i="1"/>
  <c r="DC141" i="1"/>
  <c r="CM141" i="1"/>
  <c r="BW141" i="1"/>
  <c r="BK141" i="1"/>
  <c r="CX141" i="1"/>
  <c r="CH141" i="1"/>
  <c r="BS141" i="1"/>
  <c r="BH141" i="1"/>
  <c r="CF141" i="1"/>
  <c r="CE141" i="1"/>
  <c r="BT141" i="1"/>
  <c r="BR141" i="1"/>
  <c r="CY141" i="1"/>
  <c r="BP141" i="1"/>
  <c r="CU141" i="1"/>
  <c r="CI141" i="1"/>
  <c r="BJ141" i="1"/>
  <c r="BF141" i="1"/>
  <c r="CV141" i="1"/>
  <c r="BG141" i="1"/>
  <c r="BE90" i="1"/>
  <c r="BG90" i="1"/>
  <c r="BF90" i="1"/>
  <c r="CV131" i="1"/>
  <c r="CN131" i="1"/>
  <c r="CF131" i="1"/>
  <c r="BX131" i="1"/>
  <c r="CU131" i="1"/>
  <c r="CM131" i="1"/>
  <c r="CE131" i="1"/>
  <c r="BW131" i="1"/>
  <c r="BO131" i="1"/>
  <c r="BG131" i="1"/>
  <c r="CT131" i="1"/>
  <c r="CL131" i="1"/>
  <c r="CD131" i="1"/>
  <c r="BV131" i="1"/>
  <c r="BN131" i="1"/>
  <c r="BF131" i="1"/>
  <c r="CS131" i="1"/>
  <c r="CK131" i="1"/>
  <c r="CQ131" i="1"/>
  <c r="CI131" i="1"/>
  <c r="CA131" i="1"/>
  <c r="BS131" i="1"/>
  <c r="BK131" i="1"/>
  <c r="CO131" i="1"/>
  <c r="BU131" i="1"/>
  <c r="BI131" i="1"/>
  <c r="CJ131" i="1"/>
  <c r="BT131" i="1"/>
  <c r="BH131" i="1"/>
  <c r="CH131" i="1"/>
  <c r="BR131" i="1"/>
  <c r="BE131" i="1"/>
  <c r="CG131" i="1"/>
  <c r="BQ131" i="1"/>
  <c r="CC131" i="1"/>
  <c r="BP131" i="1"/>
  <c r="CR131" i="1"/>
  <c r="CP131" i="1"/>
  <c r="CB131" i="1"/>
  <c r="BM131" i="1"/>
  <c r="BL131" i="1"/>
  <c r="BZ131" i="1"/>
  <c r="BJ131" i="1"/>
  <c r="BY131" i="1"/>
  <c r="DD139" i="1"/>
  <c r="CV139" i="1"/>
  <c r="CN139" i="1"/>
  <c r="CF139" i="1"/>
  <c r="BX139" i="1"/>
  <c r="BP139" i="1"/>
  <c r="BH139" i="1"/>
  <c r="DC139" i="1"/>
  <c r="CU139" i="1"/>
  <c r="CM139" i="1"/>
  <c r="CE139" i="1"/>
  <c r="BW139" i="1"/>
  <c r="BO139" i="1"/>
  <c r="BG139" i="1"/>
  <c r="DB139" i="1"/>
  <c r="CT139" i="1"/>
  <c r="CL139" i="1"/>
  <c r="CD139" i="1"/>
  <c r="BV139" i="1"/>
  <c r="BN139" i="1"/>
  <c r="BF139" i="1"/>
  <c r="DA139" i="1"/>
  <c r="CS139" i="1"/>
  <c r="CK139" i="1"/>
  <c r="CC139" i="1"/>
  <c r="BU139" i="1"/>
  <c r="BM139" i="1"/>
  <c r="BE139" i="1"/>
  <c r="CY139" i="1"/>
  <c r="CQ139" i="1"/>
  <c r="CI139" i="1"/>
  <c r="CA139" i="1"/>
  <c r="BS139" i="1"/>
  <c r="BK139" i="1"/>
  <c r="CW139" i="1"/>
  <c r="BZ139" i="1"/>
  <c r="CR139" i="1"/>
  <c r="BY139" i="1"/>
  <c r="CP139" i="1"/>
  <c r="BT139" i="1"/>
  <c r="CO139" i="1"/>
  <c r="BR139" i="1"/>
  <c r="CJ139" i="1"/>
  <c r="BQ139" i="1"/>
  <c r="CX139" i="1"/>
  <c r="CH139" i="1"/>
  <c r="CG139" i="1"/>
  <c r="BJ139" i="1"/>
  <c r="BI139" i="1"/>
  <c r="CB139" i="1"/>
  <c r="BL139" i="1"/>
  <c r="CZ139" i="1"/>
  <c r="DA136" i="1"/>
  <c r="CS136" i="1"/>
  <c r="CK136" i="1"/>
  <c r="CC136" i="1"/>
  <c r="BU136" i="1"/>
  <c r="BM136" i="1"/>
  <c r="BE136" i="1"/>
  <c r="CZ136" i="1"/>
  <c r="CR136" i="1"/>
  <c r="CJ136" i="1"/>
  <c r="CB136" i="1"/>
  <c r="BT136" i="1"/>
  <c r="BL136" i="1"/>
  <c r="CY136" i="1"/>
  <c r="CQ136" i="1"/>
  <c r="CI136" i="1"/>
  <c r="CA136" i="1"/>
  <c r="BS136" i="1"/>
  <c r="BK136" i="1"/>
  <c r="CX136" i="1"/>
  <c r="CP136" i="1"/>
  <c r="CH136" i="1"/>
  <c r="BZ136" i="1"/>
  <c r="BR136" i="1"/>
  <c r="BJ136" i="1"/>
  <c r="CV136" i="1"/>
  <c r="CN136" i="1"/>
  <c r="CF136" i="1"/>
  <c r="BX136" i="1"/>
  <c r="BP136" i="1"/>
  <c r="BH136" i="1"/>
  <c r="CU136" i="1"/>
  <c r="BY136" i="1"/>
  <c r="BF136" i="1"/>
  <c r="CT136" i="1"/>
  <c r="BW136" i="1"/>
  <c r="CO136" i="1"/>
  <c r="BV136" i="1"/>
  <c r="CM136" i="1"/>
  <c r="BQ136" i="1"/>
  <c r="CL136" i="1"/>
  <c r="BO136" i="1"/>
  <c r="CE136" i="1"/>
  <c r="CD136" i="1"/>
  <c r="BN136" i="1"/>
  <c r="CW136" i="1"/>
  <c r="CG136" i="1"/>
  <c r="BI136" i="1"/>
  <c r="BG136" i="1"/>
  <c r="BF96" i="1"/>
  <c r="BM96" i="1"/>
  <c r="BE96" i="1"/>
  <c r="BL96" i="1"/>
  <c r="BI96" i="1"/>
  <c r="BH96" i="1"/>
  <c r="BG96" i="1"/>
  <c r="BJ96" i="1"/>
  <c r="BK96" i="1"/>
  <c r="BI94" i="1"/>
  <c r="BH94" i="1"/>
  <c r="BG94" i="1"/>
  <c r="BE94" i="1"/>
  <c r="BJ94" i="1"/>
  <c r="BF94" i="1"/>
  <c r="BK94" i="1"/>
  <c r="CY134" i="1"/>
  <c r="CQ134" i="1"/>
  <c r="CI134" i="1"/>
  <c r="CA134" i="1"/>
  <c r="BS134" i="1"/>
  <c r="BK134" i="1"/>
  <c r="CX134" i="1"/>
  <c r="CP134" i="1"/>
  <c r="CH134" i="1"/>
  <c r="BZ134" i="1"/>
  <c r="BR134" i="1"/>
  <c r="BJ134" i="1"/>
  <c r="CW134" i="1"/>
  <c r="CO134" i="1"/>
  <c r="CG134" i="1"/>
  <c r="BY134" i="1"/>
  <c r="BQ134" i="1"/>
  <c r="BI134" i="1"/>
  <c r="CV134" i="1"/>
  <c r="CN134" i="1"/>
  <c r="CF134" i="1"/>
  <c r="BX134" i="1"/>
  <c r="BP134" i="1"/>
  <c r="BH134" i="1"/>
  <c r="CT134" i="1"/>
  <c r="CL134" i="1"/>
  <c r="CD134" i="1"/>
  <c r="BV134" i="1"/>
  <c r="BN134" i="1"/>
  <c r="BF134" i="1"/>
  <c r="CM134" i="1"/>
  <c r="BT134" i="1"/>
  <c r="CK134" i="1"/>
  <c r="BO134" i="1"/>
  <c r="CJ134" i="1"/>
  <c r="BM134" i="1"/>
  <c r="CE134" i="1"/>
  <c r="BL134" i="1"/>
  <c r="CC134" i="1"/>
  <c r="BG134" i="1"/>
  <c r="CU134" i="1"/>
  <c r="CS134" i="1"/>
  <c r="BW134" i="1"/>
  <c r="BU134" i="1"/>
  <c r="CB134" i="1"/>
  <c r="BE134" i="1"/>
  <c r="CR134" i="1"/>
  <c r="DH150" i="1"/>
  <c r="CZ150" i="1"/>
  <c r="CR150" i="1"/>
  <c r="CJ150" i="1"/>
  <c r="CB150" i="1"/>
  <c r="BT150" i="1"/>
  <c r="BL150" i="1"/>
  <c r="DO150" i="1"/>
  <c r="DM150" i="1"/>
  <c r="DE150" i="1"/>
  <c r="CW150" i="1"/>
  <c r="CO150" i="1"/>
  <c r="CG150" i="1"/>
  <c r="BY150" i="1"/>
  <c r="BQ150" i="1"/>
  <c r="BI150" i="1"/>
  <c r="DD150" i="1"/>
  <c r="CT150" i="1"/>
  <c r="CI150" i="1"/>
  <c r="BX150" i="1"/>
  <c r="BN150" i="1"/>
  <c r="DN150" i="1"/>
  <c r="DC150" i="1"/>
  <c r="CS150" i="1"/>
  <c r="CH150" i="1"/>
  <c r="BW150" i="1"/>
  <c r="BM150" i="1"/>
  <c r="DL150" i="1"/>
  <c r="DB150" i="1"/>
  <c r="CQ150" i="1"/>
  <c r="CF150" i="1"/>
  <c r="BV150" i="1"/>
  <c r="BK150" i="1"/>
  <c r="DI150" i="1"/>
  <c r="CX150" i="1"/>
  <c r="CM150" i="1"/>
  <c r="CC150" i="1"/>
  <c r="BR150" i="1"/>
  <c r="BG150" i="1"/>
  <c r="DA150" i="1"/>
  <c r="CE150" i="1"/>
  <c r="BJ150" i="1"/>
  <c r="CY150" i="1"/>
  <c r="CD150" i="1"/>
  <c r="BH150" i="1"/>
  <c r="CV150" i="1"/>
  <c r="CA150" i="1"/>
  <c r="BF150" i="1"/>
  <c r="DJ150" i="1"/>
  <c r="CN150" i="1"/>
  <c r="BS150" i="1"/>
  <c r="CU150" i="1"/>
  <c r="BE150" i="1"/>
  <c r="CP150" i="1"/>
  <c r="CL150" i="1"/>
  <c r="CK150" i="1"/>
  <c r="DK150" i="1"/>
  <c r="BU150" i="1"/>
  <c r="BO150" i="1"/>
  <c r="DG150" i="1"/>
  <c r="DF150" i="1"/>
  <c r="BZ150" i="1"/>
  <c r="BP150" i="1"/>
  <c r="DC138" i="1"/>
  <c r="CU138" i="1"/>
  <c r="CM138" i="1"/>
  <c r="CE138" i="1"/>
  <c r="BW138" i="1"/>
  <c r="BO138" i="1"/>
  <c r="BG138" i="1"/>
  <c r="DB138" i="1"/>
  <c r="CT138" i="1"/>
  <c r="CL138" i="1"/>
  <c r="CD138" i="1"/>
  <c r="BV138" i="1"/>
  <c r="BN138" i="1"/>
  <c r="BF138" i="1"/>
  <c r="DA138" i="1"/>
  <c r="CS138" i="1"/>
  <c r="CK138" i="1"/>
  <c r="CC138" i="1"/>
  <c r="BU138" i="1"/>
  <c r="BM138" i="1"/>
  <c r="BE138" i="1"/>
  <c r="CZ138" i="1"/>
  <c r="CR138" i="1"/>
  <c r="CJ138" i="1"/>
  <c r="CB138" i="1"/>
  <c r="BT138" i="1"/>
  <c r="BL138" i="1"/>
  <c r="CX138" i="1"/>
  <c r="CP138" i="1"/>
  <c r="CH138" i="1"/>
  <c r="BZ138" i="1"/>
  <c r="BR138" i="1"/>
  <c r="BJ138" i="1"/>
  <c r="CG138" i="1"/>
  <c r="BK138" i="1"/>
  <c r="CY138" i="1"/>
  <c r="CF138" i="1"/>
  <c r="BI138" i="1"/>
  <c r="CW138" i="1"/>
  <c r="CA138" i="1"/>
  <c r="BH138" i="1"/>
  <c r="CV138" i="1"/>
  <c r="BY138" i="1"/>
  <c r="CQ138" i="1"/>
  <c r="BX138" i="1"/>
  <c r="CO138" i="1"/>
  <c r="BS138" i="1"/>
  <c r="BQ138" i="1"/>
  <c r="CN138" i="1"/>
  <c r="CI138" i="1"/>
  <c r="BP138" i="1"/>
  <c r="BH93" i="1"/>
  <c r="BG93" i="1"/>
  <c r="BF93" i="1"/>
  <c r="BI93" i="1"/>
  <c r="BE93" i="1"/>
  <c r="BJ93" i="1"/>
  <c r="CZ140" i="1"/>
  <c r="CR140" i="1"/>
  <c r="DD140" i="1"/>
  <c r="CV140" i="1"/>
  <c r="CN140" i="1"/>
  <c r="CF140" i="1"/>
  <c r="DB140" i="1"/>
  <c r="CQ140" i="1"/>
  <c r="CH140" i="1"/>
  <c r="BY140" i="1"/>
  <c r="BQ140" i="1"/>
  <c r="BI140" i="1"/>
  <c r="DA140" i="1"/>
  <c r="CP140" i="1"/>
  <c r="CG140" i="1"/>
  <c r="BX140" i="1"/>
  <c r="BP140" i="1"/>
  <c r="BH140" i="1"/>
  <c r="CY140" i="1"/>
  <c r="CO140" i="1"/>
  <c r="CE140" i="1"/>
  <c r="BW140" i="1"/>
  <c r="BO140" i="1"/>
  <c r="BG140" i="1"/>
  <c r="CX140" i="1"/>
  <c r="CM140" i="1"/>
  <c r="CD140" i="1"/>
  <c r="BV140" i="1"/>
  <c r="BN140" i="1"/>
  <c r="BF140" i="1"/>
  <c r="CU140" i="1"/>
  <c r="CK140" i="1"/>
  <c r="CB140" i="1"/>
  <c r="BT140" i="1"/>
  <c r="BL140" i="1"/>
  <c r="CS140" i="1"/>
  <c r="BS140" i="1"/>
  <c r="CL140" i="1"/>
  <c r="BR140" i="1"/>
  <c r="CJ140" i="1"/>
  <c r="BM140" i="1"/>
  <c r="CI140" i="1"/>
  <c r="BK140" i="1"/>
  <c r="DE140" i="1"/>
  <c r="CC140" i="1"/>
  <c r="BJ140" i="1"/>
  <c r="CA140" i="1"/>
  <c r="BZ140" i="1"/>
  <c r="BU140" i="1"/>
  <c r="DC140" i="1"/>
  <c r="CW140" i="1"/>
  <c r="CT140" i="1"/>
  <c r="BE140" i="1"/>
  <c r="CR128" i="1"/>
  <c r="CJ128" i="1"/>
  <c r="CB128" i="1"/>
  <c r="BT128" i="1"/>
  <c r="BL128" i="1"/>
  <c r="CQ128" i="1"/>
  <c r="CI128" i="1"/>
  <c r="CA128" i="1"/>
  <c r="BS128" i="1"/>
  <c r="BK128" i="1"/>
  <c r="CN128" i="1"/>
  <c r="CF128" i="1"/>
  <c r="BX128" i="1"/>
  <c r="BP128" i="1"/>
  <c r="BH128" i="1"/>
  <c r="CM128" i="1"/>
  <c r="BZ128" i="1"/>
  <c r="BN128" i="1"/>
  <c r="CL128" i="1"/>
  <c r="BY128" i="1"/>
  <c r="BM128" i="1"/>
  <c r="CK128" i="1"/>
  <c r="BW128" i="1"/>
  <c r="BJ128" i="1"/>
  <c r="CH128" i="1"/>
  <c r="BQ128" i="1"/>
  <c r="CG128" i="1"/>
  <c r="BO128" i="1"/>
  <c r="CE128" i="1"/>
  <c r="BI128" i="1"/>
  <c r="CS128" i="1"/>
  <c r="BV128" i="1"/>
  <c r="BE128" i="1"/>
  <c r="CP128" i="1"/>
  <c r="BU128" i="1"/>
  <c r="CO128" i="1"/>
  <c r="CD128" i="1"/>
  <c r="BR128" i="1"/>
  <c r="BG128" i="1"/>
  <c r="CC128" i="1"/>
  <c r="BF128" i="1"/>
  <c r="CM123" i="1"/>
  <c r="CN123" i="1"/>
  <c r="CE123" i="1"/>
  <c r="BW123" i="1"/>
  <c r="BO123" i="1"/>
  <c r="BG123" i="1"/>
  <c r="CL123" i="1"/>
  <c r="CD123" i="1"/>
  <c r="BV123" i="1"/>
  <c r="BN123" i="1"/>
  <c r="BF123" i="1"/>
  <c r="CK123" i="1"/>
  <c r="CC123" i="1"/>
  <c r="BU123" i="1"/>
  <c r="BM123" i="1"/>
  <c r="BE123" i="1"/>
  <c r="CH123" i="1"/>
  <c r="BZ123" i="1"/>
  <c r="BR123" i="1"/>
  <c r="BJ123" i="1"/>
  <c r="CG123" i="1"/>
  <c r="BY123" i="1"/>
  <c r="BQ123" i="1"/>
  <c r="BI123" i="1"/>
  <c r="CA123" i="1"/>
  <c r="BX123" i="1"/>
  <c r="BT123" i="1"/>
  <c r="BS123" i="1"/>
  <c r="CI123" i="1"/>
  <c r="BL123" i="1"/>
  <c r="CJ123" i="1"/>
  <c r="CF123" i="1"/>
  <c r="BP123" i="1"/>
  <c r="CB123" i="1"/>
  <c r="BK123" i="1"/>
  <c r="BH123" i="1"/>
  <c r="CT130" i="1"/>
  <c r="CL130" i="1"/>
  <c r="CD130" i="1"/>
  <c r="BV130" i="1"/>
  <c r="BN130" i="1"/>
  <c r="BF130" i="1"/>
  <c r="CS130" i="1"/>
  <c r="CK130" i="1"/>
  <c r="CC130" i="1"/>
  <c r="BU130" i="1"/>
  <c r="BM130" i="1"/>
  <c r="BE130" i="1"/>
  <c r="CP130" i="1"/>
  <c r="CH130" i="1"/>
  <c r="BZ130" i="1"/>
  <c r="BR130" i="1"/>
  <c r="BJ130" i="1"/>
  <c r="CO130" i="1"/>
  <c r="CB130" i="1"/>
  <c r="BP130" i="1"/>
  <c r="CM130" i="1"/>
  <c r="BY130" i="1"/>
  <c r="BL130" i="1"/>
  <c r="CJ130" i="1"/>
  <c r="BX130" i="1"/>
  <c r="BK130" i="1"/>
  <c r="CI130" i="1"/>
  <c r="BW130" i="1"/>
  <c r="BI130" i="1"/>
  <c r="CR130" i="1"/>
  <c r="BS130" i="1"/>
  <c r="CQ130" i="1"/>
  <c r="BQ130" i="1"/>
  <c r="CN130" i="1"/>
  <c r="BO130" i="1"/>
  <c r="CE130" i="1"/>
  <c r="CA130" i="1"/>
  <c r="CU130" i="1"/>
  <c r="CG130" i="1"/>
  <c r="CF130" i="1"/>
  <c r="BT130" i="1"/>
  <c r="BG130" i="1"/>
  <c r="BH130" i="1"/>
  <c r="DG149" i="1"/>
  <c r="CY149" i="1"/>
  <c r="CQ149" i="1"/>
  <c r="CI149" i="1"/>
  <c r="CA149" i="1"/>
  <c r="BS149" i="1"/>
  <c r="BK149" i="1"/>
  <c r="DL149" i="1"/>
  <c r="DD149" i="1"/>
  <c r="CV149" i="1"/>
  <c r="CN149" i="1"/>
  <c r="CF149" i="1"/>
  <c r="BX149" i="1"/>
  <c r="BP149" i="1"/>
  <c r="BH149" i="1"/>
  <c r="DK149" i="1"/>
  <c r="DA149" i="1"/>
  <c r="CP149" i="1"/>
  <c r="CE149" i="1"/>
  <c r="BU149" i="1"/>
  <c r="BJ149" i="1"/>
  <c r="DJ149" i="1"/>
  <c r="CZ149" i="1"/>
  <c r="CO149" i="1"/>
  <c r="CD149" i="1"/>
  <c r="BT149" i="1"/>
  <c r="BI149" i="1"/>
  <c r="DI149" i="1"/>
  <c r="CX149" i="1"/>
  <c r="CM149" i="1"/>
  <c r="CC149" i="1"/>
  <c r="BR149" i="1"/>
  <c r="BG149" i="1"/>
  <c r="DE149" i="1"/>
  <c r="CT149" i="1"/>
  <c r="CJ149" i="1"/>
  <c r="BY149" i="1"/>
  <c r="BN149" i="1"/>
  <c r="DH149" i="1"/>
  <c r="CL149" i="1"/>
  <c r="BQ149" i="1"/>
  <c r="DF149" i="1"/>
  <c r="CK149" i="1"/>
  <c r="BO149" i="1"/>
  <c r="DC149" i="1"/>
  <c r="CH149" i="1"/>
  <c r="BM149" i="1"/>
  <c r="CU149" i="1"/>
  <c r="BZ149" i="1"/>
  <c r="BE149" i="1"/>
  <c r="CG149" i="1"/>
  <c r="CB149" i="1"/>
  <c r="DN149" i="1"/>
  <c r="BW149" i="1"/>
  <c r="DM149" i="1"/>
  <c r="BV149" i="1"/>
  <c r="CW149" i="1"/>
  <c r="BF149" i="1"/>
  <c r="DB149" i="1"/>
  <c r="CS149" i="1"/>
  <c r="CR149" i="1"/>
  <c r="BL149" i="1"/>
  <c r="BE88" i="1"/>
  <c r="N10" i="1"/>
  <c r="T10" i="1"/>
  <c r="AK10" i="1" s="1"/>
  <c r="DI15" i="1"/>
  <c r="CG15" i="1"/>
  <c r="DU15" i="1"/>
  <c r="DT15" i="1"/>
  <c r="DO15" i="1"/>
  <c r="DB15" i="1"/>
  <c r="DA15" i="1"/>
  <c r="CK15" i="1"/>
  <c r="CF15" i="1"/>
  <c r="DV15" i="1"/>
  <c r="DL15" i="1"/>
  <c r="CI15" i="1"/>
  <c r="BP15" i="1"/>
  <c r="BJ15" i="1"/>
  <c r="DH15" i="1"/>
  <c r="DC15" i="1"/>
  <c r="CS15" i="1"/>
  <c r="CR15" i="1"/>
  <c r="CQ15" i="1"/>
  <c r="BO15" i="1"/>
  <c r="BN15" i="1"/>
  <c r="DG15" i="1"/>
  <c r="DF15" i="1"/>
  <c r="CO15" i="1"/>
  <c r="CJ15" i="1"/>
  <c r="BT15" i="1"/>
  <c r="BS15" i="1"/>
  <c r="BR15" i="1"/>
  <c r="BQ15" i="1"/>
  <c r="BL15" i="1"/>
  <c r="BK15" i="1"/>
  <c r="DN15" i="1"/>
  <c r="CT15" i="1"/>
  <c r="CL15" i="1"/>
  <c r="BM15" i="1"/>
  <c r="DP15" i="1"/>
  <c r="DK15" i="1"/>
  <c r="DJ15" i="1"/>
  <c r="DE15" i="1"/>
  <c r="DS15" i="1"/>
  <c r="DR15" i="1"/>
  <c r="DQ15" i="1"/>
  <c r="CD15" i="1"/>
  <c r="CC15" i="1"/>
  <c r="CB15" i="1"/>
  <c r="CA15" i="1"/>
  <c r="DM15" i="1"/>
  <c r="DD15" i="1"/>
  <c r="CN15" i="1"/>
  <c r="CE15" i="1"/>
  <c r="BZ15" i="1"/>
  <c r="BY15" i="1"/>
  <c r="BX15" i="1"/>
  <c r="BW15" i="1"/>
  <c r="BV15" i="1"/>
  <c r="BU15" i="1"/>
  <c r="CZ15" i="1"/>
  <c r="CY15" i="1"/>
  <c r="CX15" i="1"/>
  <c r="CW15" i="1"/>
  <c r="CV15" i="1"/>
  <c r="CU15" i="1"/>
  <c r="CP15" i="1"/>
  <c r="DW15" i="1"/>
  <c r="CM15" i="1"/>
  <c r="CH15" i="1"/>
  <c r="DR52" i="1"/>
  <c r="CX52" i="1"/>
  <c r="DN52" i="1"/>
  <c r="CV52" i="1"/>
  <c r="DT52" i="1"/>
  <c r="DG52" i="1"/>
  <c r="CW52" i="1"/>
  <c r="DL52" i="1"/>
  <c r="DO52" i="1"/>
  <c r="DD52" i="1"/>
  <c r="DS52" i="1"/>
  <c r="DI52" i="1"/>
  <c r="CU52" i="1"/>
  <c r="CU129" i="1" s="1"/>
  <c r="DW52" i="1"/>
  <c r="DC52" i="1"/>
  <c r="DU52" i="1"/>
  <c r="DE52" i="1"/>
  <c r="DQ52" i="1"/>
  <c r="DF52" i="1"/>
  <c r="DV52" i="1"/>
  <c r="DK52" i="1"/>
  <c r="DA52" i="1"/>
  <c r="DJ52" i="1"/>
  <c r="CY52" i="1"/>
  <c r="DH52" i="1"/>
  <c r="DP52" i="1"/>
  <c r="DB52" i="1"/>
  <c r="DM52" i="1"/>
  <c r="CZ52" i="1"/>
  <c r="DW77" i="1"/>
  <c r="DV77" i="1"/>
  <c r="DU77" i="1"/>
  <c r="DT77" i="1"/>
  <c r="DQ53" i="1"/>
  <c r="DH53" i="1"/>
  <c r="DU53" i="1"/>
  <c r="DJ53" i="1"/>
  <c r="CV53" i="1"/>
  <c r="DO53" i="1"/>
  <c r="DE53" i="1"/>
  <c r="DV53" i="1"/>
  <c r="DK53" i="1"/>
  <c r="DA53" i="1"/>
  <c r="CZ53" i="1"/>
  <c r="DR53" i="1"/>
  <c r="DI53" i="1"/>
  <c r="DS53" i="1"/>
  <c r="DF53" i="1"/>
  <c r="DM53" i="1"/>
  <c r="DC53" i="1"/>
  <c r="DN53" i="1"/>
  <c r="DD53" i="1"/>
  <c r="DW53" i="1"/>
  <c r="DB53" i="1"/>
  <c r="DP53" i="1"/>
  <c r="DG53" i="1"/>
  <c r="CW53" i="1"/>
  <c r="DL53" i="1"/>
  <c r="CX53" i="1"/>
  <c r="DT53" i="1"/>
  <c r="CY53" i="1"/>
  <c r="DT66" i="1"/>
  <c r="DU66" i="1"/>
  <c r="DQ66" i="1"/>
  <c r="DL66" i="1"/>
  <c r="DW66" i="1"/>
  <c r="DN66" i="1"/>
  <c r="DP66" i="1"/>
  <c r="DI66" i="1"/>
  <c r="DM66" i="1"/>
  <c r="DR66" i="1"/>
  <c r="DJ66" i="1"/>
  <c r="DV66" i="1"/>
  <c r="DO66" i="1"/>
  <c r="DS66" i="1"/>
  <c r="DK66" i="1"/>
  <c r="DV70" i="1"/>
  <c r="DU70" i="1"/>
  <c r="DS70" i="1"/>
  <c r="DP70" i="1"/>
  <c r="DQ70" i="1"/>
  <c r="DN70" i="1"/>
  <c r="DW70" i="1"/>
  <c r="DO70" i="1"/>
  <c r="DT70" i="1"/>
  <c r="DM70" i="1"/>
  <c r="DR70" i="1"/>
  <c r="DS58" i="1"/>
  <c r="DG58" i="1"/>
  <c r="DV58" i="1"/>
  <c r="DN58" i="1"/>
  <c r="DF58" i="1"/>
  <c r="DO58" i="1"/>
  <c r="DM58" i="1"/>
  <c r="DD58" i="1"/>
  <c r="DQ58" i="1"/>
  <c r="DJ58" i="1"/>
  <c r="DB58" i="1"/>
  <c r="DR58" i="1"/>
  <c r="DE58" i="1"/>
  <c r="DU58" i="1"/>
  <c r="DK58" i="1"/>
  <c r="DI58" i="1"/>
  <c r="DW58" i="1"/>
  <c r="DC58" i="1"/>
  <c r="DT58" i="1"/>
  <c r="DL58" i="1"/>
  <c r="DP58" i="1"/>
  <c r="DH58" i="1"/>
  <c r="DA58" i="1"/>
  <c r="DW64" i="1"/>
  <c r="DO64" i="1"/>
  <c r="DM64" i="1"/>
  <c r="DV64" i="1"/>
  <c r="DI64" i="1"/>
  <c r="DU64" i="1"/>
  <c r="DK64" i="1"/>
  <c r="DP64" i="1"/>
  <c r="DG64" i="1"/>
  <c r="DS64" i="1"/>
  <c r="DL64" i="1"/>
  <c r="DN64" i="1"/>
  <c r="DQ64" i="1"/>
  <c r="DR64" i="1"/>
  <c r="DJ64" i="1"/>
  <c r="DT64" i="1"/>
  <c r="DH64" i="1"/>
  <c r="DL13" i="1"/>
  <c r="DK13" i="1"/>
  <c r="DC13" i="1"/>
  <c r="DI13" i="1"/>
  <c r="CZ13" i="1"/>
  <c r="DE13" i="1"/>
  <c r="DS13" i="1"/>
  <c r="DR13" i="1"/>
  <c r="DN13" i="1"/>
  <c r="DB13" i="1"/>
  <c r="DM13" i="1"/>
  <c r="DD13" i="1"/>
  <c r="DT13" i="1"/>
  <c r="CY13" i="1"/>
  <c r="DO13" i="1"/>
  <c r="DH13" i="1"/>
  <c r="DG13" i="1"/>
  <c r="DF13" i="1"/>
  <c r="DV13" i="1"/>
  <c r="DU13" i="1"/>
  <c r="DQ13" i="1"/>
  <c r="DJ13" i="1"/>
  <c r="DW13" i="1"/>
  <c r="DP13" i="1"/>
  <c r="DA13" i="1"/>
  <c r="CR13" i="1"/>
  <c r="CQ13" i="1"/>
  <c r="CD13" i="1"/>
  <c r="CB13" i="1"/>
  <c r="BP13" i="1"/>
  <c r="CF13" i="1"/>
  <c r="BI13" i="1"/>
  <c r="CO13" i="1"/>
  <c r="CC13" i="1"/>
  <c r="CA13" i="1"/>
  <c r="BZ13" i="1"/>
  <c r="BX13" i="1"/>
  <c r="CT13" i="1"/>
  <c r="CS13" i="1"/>
  <c r="CP13" i="1"/>
  <c r="CN13" i="1"/>
  <c r="BM13" i="1"/>
  <c r="CM13" i="1"/>
  <c r="CL13" i="1"/>
  <c r="BY13" i="1"/>
  <c r="BL13" i="1"/>
  <c r="BJ13" i="1"/>
  <c r="CX13" i="1"/>
  <c r="CV13" i="1"/>
  <c r="CJ13" i="1"/>
  <c r="BV13" i="1"/>
  <c r="BT13" i="1"/>
  <c r="CU13" i="1"/>
  <c r="CH13" i="1"/>
  <c r="BU13" i="1"/>
  <c r="CG13" i="1"/>
  <c r="BS13" i="1"/>
  <c r="CE13" i="1"/>
  <c r="BR13" i="1"/>
  <c r="BK13" i="1"/>
  <c r="BH13" i="1"/>
  <c r="CW13" i="1"/>
  <c r="CK13" i="1"/>
  <c r="CI13" i="1"/>
  <c r="BW13" i="1"/>
  <c r="BQ13" i="1"/>
  <c r="BO13" i="1"/>
  <c r="BN13" i="1"/>
  <c r="DL54" i="1"/>
  <c r="DB54" i="1"/>
  <c r="DQ54" i="1"/>
  <c r="DD54" i="1"/>
  <c r="DH54" i="1"/>
  <c r="CY54" i="1"/>
  <c r="DP54" i="1"/>
  <c r="DE54" i="1"/>
  <c r="DW54" i="1"/>
  <c r="DM54" i="1"/>
  <c r="DC54" i="1"/>
  <c r="DA54" i="1"/>
  <c r="DR54" i="1"/>
  <c r="CX54" i="1"/>
  <c r="DG54" i="1"/>
  <c r="DO54" i="1"/>
  <c r="CW54" i="1"/>
  <c r="DT54" i="1"/>
  <c r="DF54" i="1"/>
  <c r="DS54" i="1"/>
  <c r="DI54" i="1"/>
  <c r="DV54" i="1"/>
  <c r="DJ54" i="1"/>
  <c r="DU54" i="1"/>
  <c r="DK54" i="1"/>
  <c r="CZ54" i="1"/>
  <c r="DN54" i="1"/>
  <c r="DS59" i="1"/>
  <c r="DG59" i="1"/>
  <c r="DI59" i="1"/>
  <c r="DW59" i="1"/>
  <c r="DM59" i="1"/>
  <c r="DB59" i="1"/>
  <c r="DQ59" i="1"/>
  <c r="DL59" i="1"/>
  <c r="DD59" i="1"/>
  <c r="DV59" i="1"/>
  <c r="DF59" i="1"/>
  <c r="DT59" i="1"/>
  <c r="DJ59" i="1"/>
  <c r="DR59" i="1"/>
  <c r="DC59" i="1"/>
  <c r="DO59" i="1"/>
  <c r="DK59" i="1"/>
  <c r="DP59" i="1"/>
  <c r="DH59" i="1"/>
  <c r="DU59" i="1"/>
  <c r="DN59" i="1"/>
  <c r="DE59" i="1"/>
  <c r="DW79" i="1"/>
  <c r="DV79" i="1"/>
  <c r="DL68" i="1"/>
  <c r="DU68" i="1"/>
  <c r="DV68" i="1"/>
  <c r="DK68" i="1"/>
  <c r="DW68" i="1"/>
  <c r="DO68" i="1"/>
  <c r="DS68" i="1"/>
  <c r="DP68" i="1"/>
  <c r="DN68" i="1"/>
  <c r="DT68" i="1"/>
  <c r="DQ68" i="1"/>
  <c r="DR68" i="1"/>
  <c r="DM68" i="1"/>
  <c r="DS16" i="1"/>
  <c r="DR16" i="1"/>
  <c r="DQ16" i="1"/>
  <c r="DP16" i="1"/>
  <c r="CF16" i="1"/>
  <c r="CN16" i="1"/>
  <c r="CH16" i="1"/>
  <c r="CT16" i="1"/>
  <c r="CK16" i="1"/>
  <c r="CJ16" i="1"/>
  <c r="CI16" i="1"/>
  <c r="CD16" i="1"/>
  <c r="CC16" i="1"/>
  <c r="DJ16" i="1"/>
  <c r="DB16" i="1"/>
  <c r="CR16" i="1"/>
  <c r="CQ16" i="1"/>
  <c r="CP16" i="1"/>
  <c r="CO16" i="1"/>
  <c r="CB16" i="1"/>
  <c r="CA16" i="1"/>
  <c r="BZ16" i="1"/>
  <c r="BY16" i="1"/>
  <c r="BX16" i="1"/>
  <c r="BK16" i="1"/>
  <c r="DM16" i="1"/>
  <c r="BS16" i="1"/>
  <c r="DT16" i="1"/>
  <c r="DF16" i="1"/>
  <c r="DE16" i="1"/>
  <c r="DD16" i="1"/>
  <c r="DC16" i="1"/>
  <c r="CS16" i="1"/>
  <c r="DI16" i="1"/>
  <c r="BQ16" i="1"/>
  <c r="DO16" i="1"/>
  <c r="DN16" i="1"/>
  <c r="BR16" i="1"/>
  <c r="DU16" i="1"/>
  <c r="BP16" i="1"/>
  <c r="BO16" i="1"/>
  <c r="BN16" i="1"/>
  <c r="BM16" i="1"/>
  <c r="BL16" i="1"/>
  <c r="DV16" i="1"/>
  <c r="DA16" i="1"/>
  <c r="CZ16" i="1"/>
  <c r="CY16" i="1"/>
  <c r="BW16" i="1"/>
  <c r="BV16" i="1"/>
  <c r="DH16" i="1"/>
  <c r="DG16" i="1"/>
  <c r="CX16" i="1"/>
  <c r="CW16" i="1"/>
  <c r="CV16" i="1"/>
  <c r="BU16" i="1"/>
  <c r="BT16" i="1"/>
  <c r="DW16" i="1"/>
  <c r="DK16" i="1"/>
  <c r="CU16" i="1"/>
  <c r="CE16" i="1"/>
  <c r="DL16" i="1"/>
  <c r="CM16" i="1"/>
  <c r="CL16" i="1"/>
  <c r="CG16" i="1"/>
  <c r="DP60" i="1"/>
  <c r="DE60" i="1"/>
  <c r="DQ60" i="1"/>
  <c r="DI60" i="1"/>
  <c r="DH60" i="1"/>
  <c r="DR60" i="1"/>
  <c r="DJ60" i="1"/>
  <c r="DU60" i="1"/>
  <c r="DD60" i="1"/>
  <c r="DW60" i="1"/>
  <c r="DL60" i="1"/>
  <c r="DO60" i="1"/>
  <c r="DS60" i="1"/>
  <c r="DK60" i="1"/>
  <c r="DC60" i="1"/>
  <c r="DM60" i="1"/>
  <c r="DF60" i="1"/>
  <c r="DT60" i="1"/>
  <c r="DV60" i="1"/>
  <c r="DN60" i="1"/>
  <c r="DG60" i="1"/>
  <c r="DV20" i="1"/>
  <c r="DT20" i="1"/>
  <c r="BX20" i="1"/>
  <c r="BV20" i="1"/>
  <c r="DJ20" i="1"/>
  <c r="CK20" i="1"/>
  <c r="DU20" i="1"/>
  <c r="CU20" i="1"/>
  <c r="CR20" i="1"/>
  <c r="CE20" i="1"/>
  <c r="CB20" i="1"/>
  <c r="BZ20" i="1"/>
  <c r="DE20" i="1"/>
  <c r="CQ20" i="1"/>
  <c r="CN20" i="1"/>
  <c r="CL20" i="1"/>
  <c r="CI20" i="1"/>
  <c r="DR20" i="1"/>
  <c r="CS20" i="1"/>
  <c r="DW20" i="1"/>
  <c r="CA20" i="1"/>
  <c r="DS20" i="1"/>
  <c r="DP20" i="1"/>
  <c r="DM20" i="1"/>
  <c r="BS20" i="1"/>
  <c r="BP20" i="1"/>
  <c r="DI20" i="1"/>
  <c r="DF20" i="1"/>
  <c r="DC20" i="1"/>
  <c r="CZ20" i="1"/>
  <c r="CW20" i="1"/>
  <c r="CT20" i="1"/>
  <c r="BQ20" i="1"/>
  <c r="DL20" i="1"/>
  <c r="BR20" i="1"/>
  <c r="CO20" i="1"/>
  <c r="CG20" i="1"/>
  <c r="CD20" i="1"/>
  <c r="DO20" i="1"/>
  <c r="DB20" i="1"/>
  <c r="CY20" i="1"/>
  <c r="CV20" i="1"/>
  <c r="CH20" i="1"/>
  <c r="CF20" i="1"/>
  <c r="CC20" i="1"/>
  <c r="BO20" i="1"/>
  <c r="DG20" i="1"/>
  <c r="DD20" i="1"/>
  <c r="DA20" i="1"/>
  <c r="CX20" i="1"/>
  <c r="BY20" i="1"/>
  <c r="BW20" i="1"/>
  <c r="BU20" i="1"/>
  <c r="DQ20" i="1"/>
  <c r="DN20" i="1"/>
  <c r="DK20" i="1"/>
  <c r="DH20" i="1"/>
  <c r="CP20" i="1"/>
  <c r="CM20" i="1"/>
  <c r="CJ20" i="1"/>
  <c r="BT20" i="1"/>
  <c r="DW78" i="1"/>
  <c r="DV78" i="1"/>
  <c r="DU78" i="1"/>
  <c r="DW73" i="1"/>
  <c r="DV73" i="1"/>
  <c r="DU73" i="1"/>
  <c r="DT73" i="1"/>
  <c r="DS73" i="1"/>
  <c r="DR73" i="1"/>
  <c r="DQ73" i="1"/>
  <c r="DP73" i="1"/>
  <c r="DN51" i="1"/>
  <c r="DI51" i="1"/>
  <c r="CW51" i="1"/>
  <c r="DH51" i="1"/>
  <c r="CX51" i="1"/>
  <c r="DV51" i="1"/>
  <c r="DK51" i="1"/>
  <c r="CZ51" i="1"/>
  <c r="DW51" i="1"/>
  <c r="DL51" i="1"/>
  <c r="DB51" i="1"/>
  <c r="DM51" i="1"/>
  <c r="DC51" i="1"/>
  <c r="DS51" i="1"/>
  <c r="CY51" i="1"/>
  <c r="DU51" i="1"/>
  <c r="DF51" i="1"/>
  <c r="DO51" i="1"/>
  <c r="DE51" i="1"/>
  <c r="CT51" i="1"/>
  <c r="DQ51" i="1"/>
  <c r="DD51" i="1"/>
  <c r="DR51" i="1"/>
  <c r="DG51" i="1"/>
  <c r="DT51" i="1"/>
  <c r="DJ51" i="1"/>
  <c r="CV51" i="1"/>
  <c r="DA51" i="1"/>
  <c r="DP51" i="1"/>
  <c r="CU51" i="1"/>
  <c r="DW17" i="1"/>
  <c r="DR17" i="1"/>
  <c r="DL17" i="1"/>
  <c r="CA17" i="1"/>
  <c r="BZ17" i="1"/>
  <c r="BX17" i="1"/>
  <c r="DS17" i="1"/>
  <c r="DM17" i="1"/>
  <c r="CN17" i="1"/>
  <c r="BU17" i="1"/>
  <c r="CH17" i="1"/>
  <c r="BY17" i="1"/>
  <c r="BN17" i="1"/>
  <c r="DK17" i="1"/>
  <c r="CP17" i="1"/>
  <c r="CO17" i="1"/>
  <c r="CG17" i="1"/>
  <c r="CF17" i="1"/>
  <c r="BW17" i="1"/>
  <c r="BV17" i="1"/>
  <c r="BO17" i="1"/>
  <c r="DA17" i="1"/>
  <c r="DV17" i="1"/>
  <c r="DU17" i="1"/>
  <c r="DT17" i="1"/>
  <c r="DB17" i="1"/>
  <c r="CQ17" i="1"/>
  <c r="CK17" i="1"/>
  <c r="CJ17" i="1"/>
  <c r="DQ17" i="1"/>
  <c r="DP17" i="1"/>
  <c r="DO17" i="1"/>
  <c r="DN17" i="1"/>
  <c r="DJ17" i="1"/>
  <c r="DI17" i="1"/>
  <c r="DH17" i="1"/>
  <c r="DG17" i="1"/>
  <c r="CL17" i="1"/>
  <c r="CC17" i="1"/>
  <c r="CB17" i="1"/>
  <c r="BM17" i="1"/>
  <c r="BL17" i="1"/>
  <c r="DF17" i="1"/>
  <c r="DE17" i="1"/>
  <c r="DD17" i="1"/>
  <c r="DC17" i="1"/>
  <c r="CZ17" i="1"/>
  <c r="CY17" i="1"/>
  <c r="CX17" i="1"/>
  <c r="CM17" i="1"/>
  <c r="CE17" i="1"/>
  <c r="CD17" i="1"/>
  <c r="BR17" i="1"/>
  <c r="CW17" i="1"/>
  <c r="BQ17" i="1"/>
  <c r="BP17" i="1"/>
  <c r="CV17" i="1"/>
  <c r="CT17" i="1"/>
  <c r="CS17" i="1"/>
  <c r="CI17" i="1"/>
  <c r="BT17" i="1"/>
  <c r="BS17" i="1"/>
  <c r="CU17" i="1"/>
  <c r="CR17" i="1"/>
  <c r="DG55" i="1"/>
  <c r="DO55" i="1"/>
  <c r="DE55" i="1"/>
  <c r="DQ55" i="1"/>
  <c r="CZ55" i="1"/>
  <c r="DP55" i="1"/>
  <c r="DC55" i="1"/>
  <c r="DU55" i="1"/>
  <c r="DJ55" i="1"/>
  <c r="DV55" i="1"/>
  <c r="DI55" i="1"/>
  <c r="CY55" i="1"/>
  <c r="DT55" i="1"/>
  <c r="DF55" i="1"/>
  <c r="DW55" i="1"/>
  <c r="DK55" i="1"/>
  <c r="CX55" i="1"/>
  <c r="DB55" i="1"/>
  <c r="DN55" i="1"/>
  <c r="DD55" i="1"/>
  <c r="DR55" i="1"/>
  <c r="DH55" i="1"/>
  <c r="DM55" i="1"/>
  <c r="DL55" i="1"/>
  <c r="DS55" i="1"/>
  <c r="DA55" i="1"/>
  <c r="DP48" i="1"/>
  <c r="DE48" i="1"/>
  <c r="CT48" i="1"/>
  <c r="DT48" i="1"/>
  <c r="DG48" i="1"/>
  <c r="CV48" i="1"/>
  <c r="DQ48" i="1"/>
  <c r="DF48" i="1"/>
  <c r="DO48" i="1"/>
  <c r="DA48" i="1"/>
  <c r="DN48" i="1"/>
  <c r="DC48" i="1"/>
  <c r="DS48" i="1"/>
  <c r="DH48" i="1"/>
  <c r="CW48" i="1"/>
  <c r="DJ48" i="1"/>
  <c r="CY48" i="1"/>
  <c r="DV48" i="1"/>
  <c r="CR48" i="1"/>
  <c r="DW48" i="1"/>
  <c r="DI48" i="1"/>
  <c r="CX48" i="1"/>
  <c r="DU48" i="1"/>
  <c r="DK48" i="1"/>
  <c r="CZ48" i="1"/>
  <c r="DM48" i="1"/>
  <c r="DB48" i="1"/>
  <c r="CQ48" i="1"/>
  <c r="DL48" i="1"/>
  <c r="CS48" i="1"/>
  <c r="DR48" i="1"/>
  <c r="CU48" i="1"/>
  <c r="DD48" i="1"/>
  <c r="DU72" i="1"/>
  <c r="DW72" i="1"/>
  <c r="DV72" i="1"/>
  <c r="DT72" i="1"/>
  <c r="DS72" i="1"/>
  <c r="DR72" i="1"/>
  <c r="DQ72" i="1"/>
  <c r="DP72" i="1"/>
  <c r="DO72" i="1"/>
  <c r="DH50" i="1"/>
  <c r="CT50" i="1"/>
  <c r="DP50" i="1"/>
  <c r="DA50" i="1"/>
  <c r="DQ50" i="1"/>
  <c r="DC50" i="1"/>
  <c r="DS50" i="1"/>
  <c r="DE50" i="1"/>
  <c r="CU50" i="1"/>
  <c r="DU50" i="1"/>
  <c r="DT50" i="1"/>
  <c r="DJ50" i="1"/>
  <c r="CZ50" i="1"/>
  <c r="DO50" i="1"/>
  <c r="DD50" i="1"/>
  <c r="DN50" i="1"/>
  <c r="CX50" i="1"/>
  <c r="DF50" i="1"/>
  <c r="CV50" i="1"/>
  <c r="DW50" i="1"/>
  <c r="DM50" i="1"/>
  <c r="DB50" i="1"/>
  <c r="DV50" i="1"/>
  <c r="DK50" i="1"/>
  <c r="CS50" i="1"/>
  <c r="DI50" i="1"/>
  <c r="CY50" i="1"/>
  <c r="DR50" i="1"/>
  <c r="DG50" i="1"/>
  <c r="DL50" i="1"/>
  <c r="CW50" i="1"/>
  <c r="DR42" i="1"/>
  <c r="DF42" i="1"/>
  <c r="CR42" i="1"/>
  <c r="DL42" i="1"/>
  <c r="DB42" i="1"/>
  <c r="CM42" i="1"/>
  <c r="DO42" i="1"/>
  <c r="DC42" i="1"/>
  <c r="CO42" i="1"/>
  <c r="DU42" i="1"/>
  <c r="DE42" i="1"/>
  <c r="CS42" i="1"/>
  <c r="DJ42" i="1"/>
  <c r="CV42" i="1"/>
  <c r="DW42" i="1"/>
  <c r="DK42" i="1"/>
  <c r="CY42" i="1"/>
  <c r="CL42" i="1"/>
  <c r="DQ42" i="1"/>
  <c r="DD42" i="1"/>
  <c r="CP42" i="1"/>
  <c r="DP42" i="1"/>
  <c r="CZ42" i="1"/>
  <c r="DM42" i="1"/>
  <c r="CW42" i="1"/>
  <c r="DS42" i="1"/>
  <c r="DG42" i="1"/>
  <c r="CU42" i="1"/>
  <c r="DT42" i="1"/>
  <c r="CT42" i="1"/>
  <c r="DV42" i="1"/>
  <c r="DI42" i="1"/>
  <c r="CX42" i="1"/>
  <c r="CK42" i="1"/>
  <c r="DN42" i="1"/>
  <c r="DA42" i="1"/>
  <c r="CN42" i="1"/>
  <c r="DH42" i="1"/>
  <c r="CQ42" i="1"/>
  <c r="DW75" i="1"/>
  <c r="DV75" i="1"/>
  <c r="DU75" i="1"/>
  <c r="DT75" i="1"/>
  <c r="DS75" i="1"/>
  <c r="DR75" i="1"/>
  <c r="DW74" i="1"/>
  <c r="DV74" i="1"/>
  <c r="DU74" i="1"/>
  <c r="DT74" i="1"/>
  <c r="DS74" i="1"/>
  <c r="DR74" i="1"/>
  <c r="DQ74" i="1"/>
  <c r="DT46" i="1"/>
  <c r="DH46" i="1"/>
  <c r="CQ46" i="1"/>
  <c r="DL46" i="1"/>
  <c r="DA46" i="1"/>
  <c r="CP46" i="1"/>
  <c r="DW46" i="1"/>
  <c r="DI46" i="1"/>
  <c r="CX46" i="1"/>
  <c r="DS46" i="1"/>
  <c r="DG46" i="1"/>
  <c r="CV46" i="1"/>
  <c r="DU46" i="1"/>
  <c r="DJ46" i="1"/>
  <c r="CS46" i="1"/>
  <c r="DF46" i="1"/>
  <c r="CR46" i="1"/>
  <c r="DM46" i="1"/>
  <c r="CW46" i="1"/>
  <c r="DN46" i="1"/>
  <c r="CY46" i="1"/>
  <c r="DO46" i="1"/>
  <c r="DD46" i="1"/>
  <c r="DK46" i="1"/>
  <c r="CU46" i="1"/>
  <c r="DR46" i="1"/>
  <c r="CZ46" i="1"/>
  <c r="CO46" i="1"/>
  <c r="DP46" i="1"/>
  <c r="DB46" i="1"/>
  <c r="DV46" i="1"/>
  <c r="DE46" i="1"/>
  <c r="CT46" i="1"/>
  <c r="DQ46" i="1"/>
  <c r="DC46" i="1"/>
  <c r="DP47" i="1"/>
  <c r="CZ47" i="1"/>
  <c r="DO47" i="1"/>
  <c r="DD47" i="1"/>
  <c r="CQ47" i="1"/>
  <c r="DV47" i="1"/>
  <c r="DC47" i="1"/>
  <c r="DM47" i="1"/>
  <c r="DB47" i="1"/>
  <c r="DW47" i="1"/>
  <c r="DL47" i="1"/>
  <c r="DA47" i="1"/>
  <c r="DS47" i="1"/>
  <c r="DE47" i="1"/>
  <c r="CU47" i="1"/>
  <c r="DU47" i="1"/>
  <c r="DJ47" i="1"/>
  <c r="CS47" i="1"/>
  <c r="DK47" i="1"/>
  <c r="CT47" i="1"/>
  <c r="DT47" i="1"/>
  <c r="DI47" i="1"/>
  <c r="CP47" i="1"/>
  <c r="DR47" i="1"/>
  <c r="DG47" i="1"/>
  <c r="CV47" i="1"/>
  <c r="DH47" i="1"/>
  <c r="CX47" i="1"/>
  <c r="DF47" i="1"/>
  <c r="CR47" i="1"/>
  <c r="DQ47" i="1"/>
  <c r="CY47" i="1"/>
  <c r="DN47" i="1"/>
  <c r="CW47" i="1"/>
  <c r="CS14" i="1"/>
  <c r="CO14" i="1"/>
  <c r="BV14" i="1"/>
  <c r="CD14" i="1"/>
  <c r="BW14" i="1"/>
  <c r="DV14" i="1"/>
  <c r="DU14" i="1"/>
  <c r="DM14" i="1"/>
  <c r="DL14" i="1"/>
  <c r="DK14" i="1"/>
  <c r="CV14" i="1"/>
  <c r="CU14" i="1"/>
  <c r="CT14" i="1"/>
  <c r="CB14" i="1"/>
  <c r="CA14" i="1"/>
  <c r="BZ14" i="1"/>
  <c r="CY14" i="1"/>
  <c r="CK14" i="1"/>
  <c r="CJ14" i="1"/>
  <c r="CI14" i="1"/>
  <c r="DF14" i="1"/>
  <c r="CX14" i="1"/>
  <c r="DG14" i="1"/>
  <c r="CR14" i="1"/>
  <c r="CQ14" i="1"/>
  <c r="CC14" i="1"/>
  <c r="BU14" i="1"/>
  <c r="BM14" i="1"/>
  <c r="DS14" i="1"/>
  <c r="DR14" i="1"/>
  <c r="DJ14" i="1"/>
  <c r="DB14" i="1"/>
  <c r="BY14" i="1"/>
  <c r="BQ14" i="1"/>
  <c r="BP14" i="1"/>
  <c r="BO14" i="1"/>
  <c r="BN14" i="1"/>
  <c r="DT14" i="1"/>
  <c r="DH14" i="1"/>
  <c r="DD14" i="1"/>
  <c r="DC14" i="1"/>
  <c r="BK14" i="1"/>
  <c r="BJ14" i="1"/>
  <c r="CW14" i="1"/>
  <c r="DW14" i="1"/>
  <c r="DA14" i="1"/>
  <c r="CZ14" i="1"/>
  <c r="BS14" i="1"/>
  <c r="BR14" i="1"/>
  <c r="DO14" i="1"/>
  <c r="DN14" i="1"/>
  <c r="DI14" i="1"/>
  <c r="DE14" i="1"/>
  <c r="CP14" i="1"/>
  <c r="CH14" i="1"/>
  <c r="CG14" i="1"/>
  <c r="CF14" i="1"/>
  <c r="CE14" i="1"/>
  <c r="BX14" i="1"/>
  <c r="BI14" i="1"/>
  <c r="DQ14" i="1"/>
  <c r="DP14" i="1"/>
  <c r="CN14" i="1"/>
  <c r="CM14" i="1"/>
  <c r="CL14" i="1"/>
  <c r="BT14" i="1"/>
  <c r="BL14" i="1"/>
  <c r="DN65" i="1"/>
  <c r="DT65" i="1"/>
  <c r="DO65" i="1"/>
  <c r="DV65" i="1"/>
  <c r="DI65" i="1"/>
  <c r="DU65" i="1"/>
  <c r="DM65" i="1"/>
  <c r="DR65" i="1"/>
  <c r="DK65" i="1"/>
  <c r="DH65" i="1"/>
  <c r="DH142" i="1" s="1"/>
  <c r="DW65" i="1"/>
  <c r="DP65" i="1"/>
  <c r="DQ65" i="1"/>
  <c r="DJ65" i="1"/>
  <c r="DS65" i="1"/>
  <c r="DL65" i="1"/>
  <c r="CU12" i="1"/>
  <c r="BT12" i="1"/>
  <c r="BS12" i="1"/>
  <c r="DW12" i="1"/>
  <c r="DU12" i="1"/>
  <c r="DS12" i="1"/>
  <c r="DQ12" i="1"/>
  <c r="DP12" i="1"/>
  <c r="DN12" i="1"/>
  <c r="CO12" i="1"/>
  <c r="CA12" i="1"/>
  <c r="BM12" i="1"/>
  <c r="BK12" i="1"/>
  <c r="CQ12" i="1"/>
  <c r="DI12" i="1"/>
  <c r="DG12" i="1"/>
  <c r="BU12" i="1"/>
  <c r="BG12" i="1"/>
  <c r="DO12" i="1"/>
  <c r="DL12" i="1"/>
  <c r="CX12" i="1"/>
  <c r="CK12" i="1"/>
  <c r="CN12" i="1"/>
  <c r="BZ12" i="1"/>
  <c r="BX12" i="1"/>
  <c r="DE12" i="1"/>
  <c r="CT12" i="1"/>
  <c r="CR12" i="1"/>
  <c r="BR12" i="1"/>
  <c r="BQ12" i="1"/>
  <c r="BP12" i="1"/>
  <c r="BO12" i="1"/>
  <c r="BN12" i="1"/>
  <c r="BL12" i="1"/>
  <c r="BJ12" i="1"/>
  <c r="BI12" i="1"/>
  <c r="DT12" i="1"/>
  <c r="DR12" i="1"/>
  <c r="BW12" i="1"/>
  <c r="DB12" i="1"/>
  <c r="CZ12" i="1"/>
  <c r="CL12" i="1"/>
  <c r="CJ12" i="1"/>
  <c r="BV12" i="1"/>
  <c r="BH12" i="1"/>
  <c r="DV12" i="1"/>
  <c r="CI12" i="1"/>
  <c r="CG12" i="1"/>
  <c r="DH12" i="1"/>
  <c r="DF12" i="1"/>
  <c r="DD12" i="1"/>
  <c r="DC12" i="1"/>
  <c r="DA12" i="1"/>
  <c r="CY12" i="1"/>
  <c r="CW12" i="1"/>
  <c r="CV12" i="1"/>
  <c r="CH12" i="1"/>
  <c r="CF12" i="1"/>
  <c r="CE12" i="1"/>
  <c r="CD12" i="1"/>
  <c r="CC12" i="1"/>
  <c r="DK12" i="1"/>
  <c r="CM12" i="1"/>
  <c r="BY12" i="1"/>
  <c r="CP12" i="1"/>
  <c r="CB12" i="1"/>
  <c r="DM12" i="1"/>
  <c r="DJ12" i="1"/>
  <c r="CS12" i="1"/>
  <c r="DQ71" i="1"/>
  <c r="DP71" i="1"/>
  <c r="DS71" i="1"/>
  <c r="DU71" i="1"/>
  <c r="DN71" i="1"/>
  <c r="DV71" i="1"/>
  <c r="DT71" i="1"/>
  <c r="DW71" i="1"/>
  <c r="DR71" i="1"/>
  <c r="DO71" i="1"/>
  <c r="DL69" i="1"/>
  <c r="DQ69" i="1"/>
  <c r="DU69" i="1"/>
  <c r="DR69" i="1"/>
  <c r="DW69" i="1"/>
  <c r="DS69" i="1"/>
  <c r="DT69" i="1"/>
  <c r="DM69" i="1"/>
  <c r="DN69" i="1"/>
  <c r="DO69" i="1"/>
  <c r="DV69" i="1"/>
  <c r="DP69" i="1"/>
  <c r="CB18" i="1"/>
  <c r="CA18" i="1"/>
  <c r="BZ18" i="1"/>
  <c r="BY18" i="1"/>
  <c r="BW18" i="1"/>
  <c r="BV18" i="1"/>
  <c r="BO18" i="1"/>
  <c r="BN18" i="1"/>
  <c r="BM18" i="1"/>
  <c r="BX18" i="1"/>
  <c r="BU18" i="1"/>
  <c r="BT18" i="1"/>
  <c r="BR18" i="1"/>
  <c r="BQ18" i="1"/>
  <c r="BP18" i="1"/>
  <c r="BS18" i="1"/>
  <c r="CV18" i="1"/>
  <c r="DW18" i="1"/>
  <c r="DU18" i="1"/>
  <c r="DS18" i="1"/>
  <c r="CT18" i="1"/>
  <c r="DR18" i="1"/>
  <c r="DO18" i="1"/>
  <c r="DL18" i="1"/>
  <c r="CM18" i="1"/>
  <c r="CK18" i="1"/>
  <c r="CI18" i="1"/>
  <c r="CG18" i="1"/>
  <c r="DP18" i="1"/>
  <c r="DA18" i="1"/>
  <c r="CY18" i="1"/>
  <c r="CW18" i="1"/>
  <c r="DD18" i="1"/>
  <c r="DB18" i="1"/>
  <c r="CC18" i="1"/>
  <c r="CE18" i="1"/>
  <c r="DT18" i="1"/>
  <c r="CU18" i="1"/>
  <c r="CR18" i="1"/>
  <c r="CP18" i="1"/>
  <c r="CF18" i="1"/>
  <c r="CD18" i="1"/>
  <c r="CL18" i="1"/>
  <c r="DQ18" i="1"/>
  <c r="DN18" i="1"/>
  <c r="CZ18" i="1"/>
  <c r="CX18" i="1"/>
  <c r="CJ18" i="1"/>
  <c r="CH18" i="1"/>
  <c r="DJ18" i="1"/>
  <c r="DH18" i="1"/>
  <c r="DF18" i="1"/>
  <c r="DC18" i="1"/>
  <c r="DM18" i="1"/>
  <c r="DK18" i="1"/>
  <c r="DI18" i="1"/>
  <c r="DG18" i="1"/>
  <c r="CS18" i="1"/>
  <c r="CQ18" i="1"/>
  <c r="CO18" i="1"/>
  <c r="DV18" i="1"/>
  <c r="DE18" i="1"/>
  <c r="CN18" i="1"/>
  <c r="DN49" i="1"/>
  <c r="DA49" i="1"/>
  <c r="DU49" i="1"/>
  <c r="DJ49" i="1"/>
  <c r="CY49" i="1"/>
  <c r="DW49" i="1"/>
  <c r="CZ49" i="1"/>
  <c r="DP49" i="1"/>
  <c r="DE49" i="1"/>
  <c r="CT49" i="1"/>
  <c r="DR49" i="1"/>
  <c r="DF49" i="1"/>
  <c r="CU49" i="1"/>
  <c r="DT49" i="1"/>
  <c r="DG49" i="1"/>
  <c r="DH49" i="1"/>
  <c r="CW49" i="1"/>
  <c r="DL49" i="1"/>
  <c r="DQ49" i="1"/>
  <c r="DB49" i="1"/>
  <c r="DV49" i="1"/>
  <c r="DK49" i="1"/>
  <c r="DM49" i="1"/>
  <c r="DC49" i="1"/>
  <c r="CR49" i="1"/>
  <c r="DD49" i="1"/>
  <c r="CS49" i="1"/>
  <c r="DS49" i="1"/>
  <c r="DI49" i="1"/>
  <c r="CV49" i="1"/>
  <c r="DO49" i="1"/>
  <c r="CX49" i="1"/>
  <c r="DP57" i="1"/>
  <c r="DH57" i="1"/>
  <c r="CZ57" i="1"/>
  <c r="DO57" i="1"/>
  <c r="DF57" i="1"/>
  <c r="DQ57" i="1"/>
  <c r="DJ57" i="1"/>
  <c r="DC57" i="1"/>
  <c r="DT57" i="1"/>
  <c r="DK57" i="1"/>
  <c r="DV57" i="1"/>
  <c r="DM57" i="1"/>
  <c r="DA57" i="1"/>
  <c r="DR57" i="1"/>
  <c r="DB57" i="1"/>
  <c r="DW57" i="1"/>
  <c r="DL57" i="1"/>
  <c r="DD57" i="1"/>
  <c r="DN57" i="1"/>
  <c r="DG57" i="1"/>
  <c r="DS57" i="1"/>
  <c r="DE57" i="1"/>
  <c r="DI57" i="1"/>
  <c r="DU57" i="1"/>
  <c r="DN67" i="1"/>
  <c r="DU67" i="1"/>
  <c r="DS67" i="1"/>
  <c r="DV67" i="1"/>
  <c r="DL67" i="1"/>
  <c r="DR67" i="1"/>
  <c r="DK67" i="1"/>
  <c r="DJ67" i="1"/>
  <c r="DW67" i="1"/>
  <c r="DO67" i="1"/>
  <c r="DP67" i="1"/>
  <c r="DT67" i="1"/>
  <c r="DM67" i="1"/>
  <c r="DQ67" i="1"/>
  <c r="DU21" i="1"/>
  <c r="DR21" i="1"/>
  <c r="DP21" i="1"/>
  <c r="DB21" i="1"/>
  <c r="CB21" i="1"/>
  <c r="DI21" i="1"/>
  <c r="DG21" i="1"/>
  <c r="DJ21" i="1"/>
  <c r="CL21" i="1"/>
  <c r="CI21" i="1"/>
  <c r="CF21" i="1"/>
  <c r="CC21" i="1"/>
  <c r="CA21" i="1"/>
  <c r="DL21" i="1"/>
  <c r="DN21" i="1"/>
  <c r="DK21" i="1"/>
  <c r="DH21" i="1"/>
  <c r="DE21" i="1"/>
  <c r="DC21" i="1"/>
  <c r="CX21" i="1"/>
  <c r="CU21" i="1"/>
  <c r="CR21" i="1"/>
  <c r="CH21" i="1"/>
  <c r="BU21" i="1"/>
  <c r="BR21" i="1"/>
  <c r="DV21" i="1"/>
  <c r="CY21" i="1"/>
  <c r="CV21" i="1"/>
  <c r="CS21" i="1"/>
  <c r="CP21" i="1"/>
  <c r="CM21" i="1"/>
  <c r="CJ21" i="1"/>
  <c r="DW21" i="1"/>
  <c r="DT21" i="1"/>
  <c r="DF21" i="1"/>
  <c r="CN21" i="1"/>
  <c r="BX21" i="1"/>
  <c r="BT21" i="1"/>
  <c r="BQ21" i="1"/>
  <c r="DQ21" i="1"/>
  <c r="DM21" i="1"/>
  <c r="CD21" i="1"/>
  <c r="BY21" i="1"/>
  <c r="BV21" i="1"/>
  <c r="BS21" i="1"/>
  <c r="BP21" i="1"/>
  <c r="DD21" i="1"/>
  <c r="CZ21" i="1"/>
  <c r="DS21" i="1"/>
  <c r="DO21" i="1"/>
  <c r="CQ21" i="1"/>
  <c r="CO21" i="1"/>
  <c r="CK21" i="1"/>
  <c r="CG21" i="1"/>
  <c r="CE21" i="1"/>
  <c r="DA21" i="1"/>
  <c r="CW21" i="1"/>
  <c r="CT21" i="1"/>
  <c r="BW21" i="1"/>
  <c r="BZ21" i="1"/>
  <c r="DQ19" i="1"/>
  <c r="CQ19" i="1"/>
  <c r="CO19" i="1"/>
  <c r="CM19" i="1"/>
  <c r="BY19" i="1"/>
  <c r="BW19" i="1"/>
  <c r="DV19" i="1"/>
  <c r="DJ19" i="1"/>
  <c r="DU19" i="1"/>
  <c r="DG19" i="1"/>
  <c r="BV19" i="1"/>
  <c r="DS19" i="1"/>
  <c r="DP19" i="1"/>
  <c r="CG19" i="1"/>
  <c r="BT19" i="1"/>
  <c r="DR19" i="1"/>
  <c r="CS19" i="1"/>
  <c r="CP19" i="1"/>
  <c r="CB19" i="1"/>
  <c r="BZ19" i="1"/>
  <c r="BX19" i="1"/>
  <c r="BU19" i="1"/>
  <c r="BS19" i="1"/>
  <c r="DM19" i="1"/>
  <c r="DI19" i="1"/>
  <c r="DF19" i="1"/>
  <c r="DD19" i="1"/>
  <c r="DB19" i="1"/>
  <c r="CN19" i="1"/>
  <c r="CA19" i="1"/>
  <c r="DK19" i="1"/>
  <c r="CW19" i="1"/>
  <c r="CT19" i="1"/>
  <c r="CV19" i="1"/>
  <c r="CF19" i="1"/>
  <c r="CD19" i="1"/>
  <c r="BO19" i="1"/>
  <c r="DW19" i="1"/>
  <c r="DT19" i="1"/>
  <c r="CL19" i="1"/>
  <c r="CJ19" i="1"/>
  <c r="DN19" i="1"/>
  <c r="DL19" i="1"/>
  <c r="DH19" i="1"/>
  <c r="CU19" i="1"/>
  <c r="CR19" i="1"/>
  <c r="DO19" i="1"/>
  <c r="CZ19" i="1"/>
  <c r="CX19" i="1"/>
  <c r="CY19" i="1"/>
  <c r="CK19" i="1"/>
  <c r="CH19" i="1"/>
  <c r="CE19" i="1"/>
  <c r="BR19" i="1"/>
  <c r="DE19" i="1"/>
  <c r="DC19" i="1"/>
  <c r="DA19" i="1"/>
  <c r="CC19" i="1"/>
  <c r="BP19" i="1"/>
  <c r="CI19" i="1"/>
  <c r="BQ19" i="1"/>
  <c r="BN19" i="1"/>
  <c r="DW76" i="1"/>
  <c r="DV76" i="1"/>
  <c r="DU76" i="1"/>
  <c r="DT76" i="1"/>
  <c r="DS76" i="1"/>
  <c r="DI45" i="1"/>
  <c r="CW45" i="1"/>
  <c r="DM45" i="1"/>
  <c r="CU45" i="1"/>
  <c r="DV45" i="1"/>
  <c r="DH45" i="1"/>
  <c r="CO45" i="1"/>
  <c r="DS45" i="1"/>
  <c r="DF45" i="1"/>
  <c r="CQ45" i="1"/>
  <c r="DE45" i="1"/>
  <c r="CT45" i="1"/>
  <c r="DN45" i="1"/>
  <c r="DC45" i="1"/>
  <c r="CR45" i="1"/>
  <c r="DU45" i="1"/>
  <c r="DJ45" i="1"/>
  <c r="CV45" i="1"/>
  <c r="DP45" i="1"/>
  <c r="DA45" i="1"/>
  <c r="DW45" i="1"/>
  <c r="DK45" i="1"/>
  <c r="CY45" i="1"/>
  <c r="CN45" i="1"/>
  <c r="CN122" i="1" s="1"/>
  <c r="DR45" i="1"/>
  <c r="DG45" i="1"/>
  <c r="CP45" i="1"/>
  <c r="DL45" i="1"/>
  <c r="CZ45" i="1"/>
  <c r="DQ45" i="1"/>
  <c r="DD45" i="1"/>
  <c r="CS45" i="1"/>
  <c r="DO45" i="1"/>
  <c r="DB45" i="1"/>
  <c r="DT45" i="1"/>
  <c r="CX45" i="1"/>
  <c r="DW56" i="1"/>
  <c r="DV56" i="1"/>
  <c r="DB56" i="1"/>
  <c r="CZ56" i="1"/>
  <c r="DU56" i="1"/>
  <c r="DA56" i="1"/>
  <c r="DT56" i="1"/>
  <c r="DF56" i="1"/>
  <c r="DS56" i="1"/>
  <c r="DR56" i="1"/>
  <c r="DE56" i="1"/>
  <c r="DQ56" i="1"/>
  <c r="DP56" i="1"/>
  <c r="DL56" i="1"/>
  <c r="DO56" i="1"/>
  <c r="DN56" i="1"/>
  <c r="DM56" i="1"/>
  <c r="DI56" i="1"/>
  <c r="CY56" i="1"/>
  <c r="DD56" i="1"/>
  <c r="DG56" i="1"/>
  <c r="DC56" i="1"/>
  <c r="DK56" i="1"/>
  <c r="DJ56" i="1"/>
  <c r="DH56" i="1"/>
  <c r="DR43" i="1"/>
  <c r="DD43" i="1"/>
  <c r="CR43" i="1"/>
  <c r="DT43" i="1"/>
  <c r="DG43" i="1"/>
  <c r="CX43" i="1"/>
  <c r="DQ43" i="1"/>
  <c r="CZ43" i="1"/>
  <c r="CO43" i="1"/>
  <c r="DP43" i="1"/>
  <c r="DE43" i="1"/>
  <c r="CT43" i="1"/>
  <c r="DO43" i="1"/>
  <c r="DC43" i="1"/>
  <c r="CN43" i="1"/>
  <c r="DN43" i="1"/>
  <c r="DA43" i="1"/>
  <c r="DM43" i="1"/>
  <c r="DB43" i="1"/>
  <c r="CQ43" i="1"/>
  <c r="DL43" i="1"/>
  <c r="CV43" i="1"/>
  <c r="DV43" i="1"/>
  <c r="DJ43" i="1"/>
  <c r="CW43" i="1"/>
  <c r="CL43" i="1"/>
  <c r="DU43" i="1"/>
  <c r="DH43" i="1"/>
  <c r="CU43" i="1"/>
  <c r="DS43" i="1"/>
  <c r="DF43" i="1"/>
  <c r="CS43" i="1"/>
  <c r="DK43" i="1"/>
  <c r="CY43" i="1"/>
  <c r="CM43" i="1"/>
  <c r="DW43" i="1"/>
  <c r="DI43" i="1"/>
  <c r="CP43" i="1"/>
  <c r="DV44" i="1"/>
  <c r="DH44" i="1"/>
  <c r="CW44" i="1"/>
  <c r="DT44" i="1"/>
  <c r="DF44" i="1"/>
  <c r="CT44" i="1"/>
  <c r="DM44" i="1"/>
  <c r="CS44" i="1"/>
  <c r="DJ44" i="1"/>
  <c r="CX44" i="1"/>
  <c r="DN44" i="1"/>
  <c r="DC44" i="1"/>
  <c r="CO44" i="1"/>
  <c r="DP44" i="1"/>
  <c r="DE44" i="1"/>
  <c r="CQ44" i="1"/>
  <c r="DU44" i="1"/>
  <c r="DB44" i="1"/>
  <c r="CM44" i="1"/>
  <c r="DW44" i="1"/>
  <c r="DI44" i="1"/>
  <c r="CP44" i="1"/>
  <c r="DL44" i="1"/>
  <c r="CY44" i="1"/>
  <c r="DK44" i="1"/>
  <c r="CU44" i="1"/>
  <c r="DO44" i="1"/>
  <c r="DD44" i="1"/>
  <c r="CR44" i="1"/>
  <c r="DR44" i="1"/>
  <c r="DG44" i="1"/>
  <c r="CV44" i="1"/>
  <c r="DS44" i="1"/>
  <c r="DA44" i="1"/>
  <c r="CN44" i="1"/>
  <c r="DQ44" i="1"/>
  <c r="CZ44" i="1"/>
  <c r="DO63" i="1"/>
  <c r="DH63" i="1"/>
  <c r="DU63" i="1"/>
  <c r="DL63" i="1"/>
  <c r="DQ63" i="1"/>
  <c r="DG63" i="1"/>
  <c r="DN63" i="1"/>
  <c r="DR63" i="1"/>
  <c r="DI63" i="1"/>
  <c r="DV63" i="1"/>
  <c r="DT63" i="1"/>
  <c r="DM63" i="1"/>
  <c r="DK63" i="1"/>
  <c r="DW63" i="1"/>
  <c r="DP63" i="1"/>
  <c r="DS63" i="1"/>
  <c r="DF63" i="1"/>
  <c r="DJ63" i="1"/>
  <c r="DP62" i="1"/>
  <c r="DR62" i="1"/>
  <c r="DI62" i="1"/>
  <c r="DU62" i="1"/>
  <c r="DM62" i="1"/>
  <c r="DH62" i="1"/>
  <c r="DK62" i="1"/>
  <c r="DV62" i="1"/>
  <c r="DS62" i="1"/>
  <c r="DJ62" i="1"/>
  <c r="DQ62" i="1"/>
  <c r="DE62" i="1"/>
  <c r="DW62" i="1"/>
  <c r="DO62" i="1"/>
  <c r="DL62" i="1"/>
  <c r="DN62" i="1"/>
  <c r="DG62" i="1"/>
  <c r="DT62" i="1"/>
  <c r="DF62" i="1"/>
  <c r="DV61" i="1"/>
  <c r="DN61" i="1"/>
  <c r="DG61" i="1"/>
  <c r="DO61" i="1"/>
  <c r="DF61" i="1"/>
  <c r="DU61" i="1"/>
  <c r="DI61" i="1"/>
  <c r="DW61" i="1"/>
  <c r="DH61" i="1"/>
  <c r="DP61" i="1"/>
  <c r="DT61" i="1"/>
  <c r="DM61" i="1"/>
  <c r="DD61" i="1"/>
  <c r="DQ61" i="1"/>
  <c r="DE61" i="1"/>
  <c r="DR61" i="1"/>
  <c r="DJ61" i="1"/>
  <c r="DL61" i="1"/>
  <c r="DS61" i="1"/>
  <c r="DK61" i="1"/>
  <c r="DU11" i="1"/>
  <c r="DT11" i="1"/>
  <c r="DV11" i="1"/>
  <c r="DW11" i="1"/>
  <c r="DJ11" i="1"/>
  <c r="DA11" i="1"/>
  <c r="BZ11" i="1"/>
  <c r="BQ11" i="1"/>
  <c r="DP11" i="1"/>
  <c r="CS11" i="1"/>
  <c r="CN11" i="1"/>
  <c r="BY11" i="1"/>
  <c r="BJ11" i="1"/>
  <c r="DS11" i="1"/>
  <c r="DF11" i="1"/>
  <c r="CQ11" i="1"/>
  <c r="CJ11" i="1"/>
  <c r="BN11" i="1"/>
  <c r="DK11" i="1"/>
  <c r="DB11" i="1"/>
  <c r="CG11" i="1"/>
  <c r="BW11" i="1"/>
  <c r="DL11" i="1"/>
  <c r="CU11" i="1"/>
  <c r="CF11" i="1"/>
  <c r="BS11" i="1"/>
  <c r="DH11" i="1"/>
  <c r="CX11" i="1"/>
  <c r="CI11" i="1"/>
  <c r="BT11" i="1"/>
  <c r="BK11" i="1"/>
  <c r="DN11" i="1"/>
  <c r="DD11" i="1"/>
  <c r="CP11" i="1"/>
  <c r="CD11" i="1"/>
  <c r="BV11" i="1"/>
  <c r="BI11" i="1"/>
  <c r="DO11" i="1"/>
  <c r="CY11" i="1"/>
  <c r="CM11" i="1"/>
  <c r="CB11" i="1"/>
  <c r="BO11" i="1"/>
  <c r="DR11" i="1"/>
  <c r="DC11" i="1"/>
  <c r="CO11" i="1"/>
  <c r="CC11" i="1"/>
  <c r="BL11" i="1"/>
  <c r="DQ11" i="1"/>
  <c r="CT11" i="1"/>
  <c r="CL11" i="1"/>
  <c r="BU11" i="1"/>
  <c r="BH11" i="1"/>
  <c r="DE11" i="1"/>
  <c r="CR11" i="1"/>
  <c r="CH11" i="1"/>
  <c r="BG11" i="1"/>
  <c r="DG11" i="1"/>
  <c r="CZ11" i="1"/>
  <c r="CA11" i="1"/>
  <c r="BP11" i="1"/>
  <c r="DM11" i="1"/>
  <c r="CV11" i="1"/>
  <c r="CE11" i="1"/>
  <c r="BR11" i="1"/>
  <c r="DI11" i="1"/>
  <c r="CW11" i="1"/>
  <c r="CK11" i="1"/>
  <c r="BX11" i="1"/>
  <c r="BM11" i="1"/>
  <c r="BF11" i="1"/>
  <c r="DO10" i="1"/>
  <c r="DB10" i="1"/>
  <c r="CV10" i="1"/>
  <c r="DM10" i="1"/>
  <c r="DD10" i="1"/>
  <c r="CP10" i="1"/>
  <c r="CG10" i="1"/>
  <c r="BY10" i="1"/>
  <c r="BR10" i="1"/>
  <c r="DU10" i="1"/>
  <c r="DJ10" i="1"/>
  <c r="CY10" i="1"/>
  <c r="BP10" i="1"/>
  <c r="BJ10" i="1"/>
  <c r="DV10" i="1"/>
  <c r="CZ10" i="1"/>
  <c r="CM10" i="1"/>
  <c r="CE10" i="1"/>
  <c r="BV10" i="1"/>
  <c r="BL10" i="1"/>
  <c r="DS10" i="1"/>
  <c r="CS10" i="1"/>
  <c r="CC10" i="1"/>
  <c r="BW10" i="1"/>
  <c r="BT10" i="1"/>
  <c r="BH10" i="1"/>
  <c r="DI10" i="1"/>
  <c r="CI10" i="1"/>
  <c r="BE10" i="1"/>
  <c r="DR10" i="1"/>
  <c r="CW10" i="1"/>
  <c r="CH10" i="1"/>
  <c r="BU10" i="1"/>
  <c r="BM10" i="1"/>
  <c r="DW10" i="1"/>
  <c r="DL10" i="1"/>
  <c r="DF10" i="1"/>
  <c r="CX10" i="1"/>
  <c r="CN10" i="1"/>
  <c r="CL10" i="1"/>
  <c r="CB10" i="1"/>
  <c r="BO10" i="1"/>
  <c r="BG10" i="1"/>
  <c r="DN10" i="1"/>
  <c r="DA10" i="1"/>
  <c r="CO10" i="1"/>
  <c r="CJ10" i="1"/>
  <c r="CA10" i="1"/>
  <c r="BN10" i="1"/>
  <c r="DK10" i="1"/>
  <c r="DE10" i="1"/>
  <c r="CQ10" i="1"/>
  <c r="CF10" i="1"/>
  <c r="BZ10" i="1"/>
  <c r="BS10" i="1"/>
  <c r="DQ10" i="1"/>
  <c r="DH10" i="1"/>
  <c r="CT10" i="1"/>
  <c r="BQ10" i="1"/>
  <c r="BK10" i="1"/>
  <c r="DP10" i="1"/>
  <c r="DC10" i="1"/>
  <c r="CU10" i="1"/>
  <c r="DT10" i="1"/>
  <c r="CR10" i="1"/>
  <c r="CD10" i="1"/>
  <c r="BX10" i="1"/>
  <c r="BI10" i="1"/>
  <c r="DG10" i="1"/>
  <c r="CK10" i="1"/>
  <c r="BF10" i="1"/>
  <c r="BE9" i="1" a="1"/>
  <c r="N52" i="1"/>
  <c r="R52" i="1" s="1"/>
  <c r="N62" i="1"/>
  <c r="R62" i="1" s="1"/>
  <c r="L10" i="1"/>
  <c r="N56" i="1"/>
  <c r="R56" i="1" s="1"/>
  <c r="N51" i="1"/>
  <c r="R51" i="1" s="1"/>
  <c r="N60" i="1"/>
  <c r="R60" i="1" s="1"/>
  <c r="L19" i="1"/>
  <c r="L44" i="1"/>
  <c r="N76" i="1"/>
  <c r="R76" i="1" s="1"/>
  <c r="L43" i="1"/>
  <c r="L15" i="1"/>
  <c r="L14" i="1"/>
  <c r="N20" i="1"/>
  <c r="R20" i="1" s="1"/>
  <c r="N72" i="1"/>
  <c r="R72" i="1" s="1"/>
  <c r="N71" i="1"/>
  <c r="R71" i="1" s="1"/>
  <c r="N18" i="1"/>
  <c r="R18" i="1" s="1"/>
  <c r="N14" i="1"/>
  <c r="R14" i="1" s="1"/>
  <c r="N55" i="1"/>
  <c r="R55" i="1" s="1"/>
  <c r="N21" i="1"/>
  <c r="R21" i="1" s="1"/>
  <c r="N79" i="1"/>
  <c r="R79" i="1" s="1"/>
  <c r="N53" i="1"/>
  <c r="R53" i="1" s="1"/>
  <c r="N54" i="1"/>
  <c r="R54" i="1" s="1"/>
  <c r="N65" i="1"/>
  <c r="R65" i="1" s="1"/>
  <c r="N74" i="1"/>
  <c r="R74" i="1" s="1"/>
  <c r="N69" i="1"/>
  <c r="R69" i="1" s="1"/>
  <c r="N66" i="1"/>
  <c r="R66" i="1" s="1"/>
  <c r="N64" i="1"/>
  <c r="R64" i="1" s="1"/>
  <c r="N17" i="1"/>
  <c r="R17" i="1" s="1"/>
  <c r="N57" i="1"/>
  <c r="R57" i="1" s="1"/>
  <c r="N48" i="1"/>
  <c r="R48" i="1" s="1"/>
  <c r="N77" i="1"/>
  <c r="R77" i="1" s="1"/>
  <c r="N68" i="1"/>
  <c r="R68" i="1" s="1"/>
  <c r="N58" i="1"/>
  <c r="R58" i="1" s="1"/>
  <c r="N49" i="1"/>
  <c r="R49" i="1" s="1"/>
  <c r="N46" i="1"/>
  <c r="R46" i="1" s="1"/>
  <c r="N67" i="1"/>
  <c r="R67" i="1" s="1"/>
  <c r="N42" i="1"/>
  <c r="R42" i="1" s="1"/>
  <c r="N61" i="1"/>
  <c r="R61" i="1" s="1"/>
  <c r="L12" i="1"/>
  <c r="L47" i="1"/>
  <c r="L75" i="1"/>
  <c r="L11" i="1"/>
  <c r="N73" i="1"/>
  <c r="R73" i="1" s="1"/>
  <c r="N59" i="1"/>
  <c r="R59" i="1" s="1"/>
  <c r="N45" i="1"/>
  <c r="R45" i="1" s="1"/>
  <c r="N80" i="1"/>
  <c r="R80" i="1" s="1"/>
  <c r="N13" i="1"/>
  <c r="R13" i="1" s="1"/>
  <c r="N78" i="1"/>
  <c r="R78" i="1" s="1"/>
  <c r="N50" i="1"/>
  <c r="R50" i="1" s="1"/>
  <c r="N16" i="1"/>
  <c r="R16" i="1" s="1"/>
  <c r="N63" i="1"/>
  <c r="R63" i="1" s="1"/>
  <c r="N70" i="1"/>
  <c r="R70" i="1" s="1"/>
  <c r="N75" i="1"/>
  <c r="R75" i="1" s="1"/>
  <c r="N11" i="1"/>
  <c r="R11" i="1" s="1"/>
  <c r="N19" i="1"/>
  <c r="R19" i="1" s="1"/>
  <c r="N47" i="1"/>
  <c r="R47" i="1" s="1"/>
  <c r="L62" i="1"/>
  <c r="L61" i="1"/>
  <c r="N15" i="1"/>
  <c r="R15" i="1" s="1"/>
  <c r="N43" i="1"/>
  <c r="R43" i="1" s="1"/>
  <c r="N12" i="1"/>
  <c r="R12" i="1" s="1"/>
  <c r="R10" i="1"/>
  <c r="N44" i="1"/>
  <c r="R44" i="1" s="1"/>
  <c r="L69" i="1"/>
  <c r="L53" i="1"/>
  <c r="L73" i="1"/>
  <c r="L59" i="1"/>
  <c r="L45" i="1"/>
  <c r="L80" i="1"/>
  <c r="L13" i="1"/>
  <c r="L78" i="1"/>
  <c r="L55" i="1"/>
  <c r="L66" i="1"/>
  <c r="L21" i="1"/>
  <c r="L54" i="1"/>
  <c r="L57" i="1"/>
  <c r="L48" i="1"/>
  <c r="L77" i="1"/>
  <c r="L58" i="1"/>
  <c r="L65" i="1"/>
  <c r="L50" i="1"/>
  <c r="L49" i="1"/>
  <c r="L63" i="1"/>
  <c r="L20" i="1"/>
  <c r="L72" i="1"/>
  <c r="L71" i="1"/>
  <c r="L18" i="1"/>
  <c r="L70" i="1"/>
  <c r="L64" i="1"/>
  <c r="L17" i="1"/>
  <c r="L79" i="1"/>
  <c r="L56" i="1"/>
  <c r="L51" i="1"/>
  <c r="L60" i="1"/>
  <c r="L76" i="1"/>
  <c r="L74" i="1"/>
  <c r="L52" i="1"/>
  <c r="L68" i="1"/>
  <c r="L16" i="1"/>
  <c r="L46" i="1"/>
  <c r="L67" i="1"/>
  <c r="L42" i="1"/>
  <c r="DS148" i="1" l="1"/>
  <c r="DU154" i="1"/>
  <c r="DC123" i="1"/>
  <c r="BI87" i="1"/>
  <c r="DN138" i="1"/>
  <c r="BU96" i="1"/>
  <c r="DB119" i="1"/>
  <c r="DT150" i="1"/>
  <c r="DJ136" i="1"/>
  <c r="CZ131" i="1"/>
  <c r="DC136" i="1"/>
  <c r="DP95" i="1"/>
  <c r="CV98" i="1"/>
  <c r="DV134" i="1"/>
  <c r="BJ89" i="1"/>
  <c r="DN127" i="1"/>
  <c r="CU90" i="1"/>
  <c r="DJ96" i="1"/>
  <c r="CK89" i="1"/>
  <c r="BN96" i="1"/>
  <c r="CZ87" i="1"/>
  <c r="DC88" i="1"/>
  <c r="DF122" i="1"/>
  <c r="DE94" i="1"/>
  <c r="CZ91" i="1"/>
  <c r="CE97" i="1"/>
  <c r="DV141" i="1"/>
  <c r="DO139" i="1"/>
  <c r="DD123" i="1"/>
  <c r="DJ128" i="1"/>
  <c r="DT145" i="1"/>
  <c r="DP140" i="1"/>
  <c r="DQ146" i="1"/>
  <c r="DW151" i="1"/>
  <c r="DT135" i="1"/>
  <c r="DV147" i="1"/>
  <c r="DA130" i="1"/>
  <c r="DJ126" i="1"/>
  <c r="DV149" i="1"/>
  <c r="DS93" i="1"/>
  <c r="DL130" i="1"/>
  <c r="DR129" i="1"/>
  <c r="DG138" i="1"/>
  <c r="DJ122" i="1"/>
  <c r="DB125" i="1"/>
  <c r="DH128" i="1"/>
  <c r="DQ129" i="1"/>
  <c r="DB129" i="1"/>
  <c r="BZ91" i="1"/>
  <c r="CN95" i="1"/>
  <c r="CQ92" i="1"/>
  <c r="CI88" i="1"/>
  <c r="DH120" i="1"/>
  <c r="DO133" i="1"/>
  <c r="DE98" i="1"/>
  <c r="CR119" i="1"/>
  <c r="DC127" i="1"/>
  <c r="BP93" i="1"/>
  <c r="DQ136" i="1"/>
  <c r="DW131" i="1"/>
  <c r="CC90" i="1"/>
  <c r="BO92" i="1"/>
  <c r="BH88" i="1"/>
  <c r="DU139" i="1"/>
  <c r="DQ121" i="1"/>
  <c r="DF134" i="1"/>
  <c r="DQ149" i="1"/>
  <c r="DN137" i="1"/>
  <c r="BT98" i="1"/>
  <c r="DN145" i="1"/>
  <c r="DM145" i="1"/>
  <c r="DL145" i="1"/>
  <c r="DO145" i="1"/>
  <c r="DV145" i="1"/>
  <c r="DU145" i="1"/>
  <c r="CJ88" i="1"/>
  <c r="CD88" i="1"/>
  <c r="CU88" i="1"/>
  <c r="DL88" i="1"/>
  <c r="BW88" i="1"/>
  <c r="DE88" i="1"/>
  <c r="BZ88" i="1"/>
  <c r="CS88" i="1"/>
  <c r="CQ88" i="1"/>
  <c r="DR149" i="1"/>
  <c r="DT130" i="1"/>
  <c r="CY130" i="1"/>
  <c r="DV130" i="1"/>
  <c r="DI130" i="1"/>
  <c r="DB130" i="1"/>
  <c r="CO123" i="1"/>
  <c r="CY123" i="1"/>
  <c r="CZ123" i="1"/>
  <c r="CT123" i="1"/>
  <c r="DK123" i="1"/>
  <c r="DU128" i="1"/>
  <c r="CW128" i="1"/>
  <c r="DW128" i="1"/>
  <c r="DP128" i="1"/>
  <c r="DN140" i="1"/>
  <c r="BY93" i="1"/>
  <c r="CI93" i="1"/>
  <c r="DP93" i="1"/>
  <c r="DI93" i="1"/>
  <c r="BT93" i="1"/>
  <c r="CT93" i="1"/>
  <c r="CZ93" i="1"/>
  <c r="DK93" i="1"/>
  <c r="BX93" i="1"/>
  <c r="DD138" i="1"/>
  <c r="DF138" i="1"/>
  <c r="BS87" i="1"/>
  <c r="CG87" i="1"/>
  <c r="DC87" i="1"/>
  <c r="CQ87" i="1"/>
  <c r="BP87" i="1"/>
  <c r="BV87" i="1"/>
  <c r="DQ87" i="1"/>
  <c r="CI87" i="1"/>
  <c r="CR87" i="1"/>
  <c r="DS150" i="1"/>
  <c r="DQ150" i="1"/>
  <c r="CZ134" i="1"/>
  <c r="DU134" i="1"/>
  <c r="DN134" i="1"/>
  <c r="DG134" i="1"/>
  <c r="DW94" i="1"/>
  <c r="DP94" i="1"/>
  <c r="CL94" i="1"/>
  <c r="DV94" i="1"/>
  <c r="BW94" i="1"/>
  <c r="DN94" i="1"/>
  <c r="CV94" i="1"/>
  <c r="DQ94" i="1"/>
  <c r="DM94" i="1"/>
  <c r="CE96" i="1"/>
  <c r="DL96" i="1"/>
  <c r="BP96" i="1"/>
  <c r="BY96" i="1"/>
  <c r="BT96" i="1"/>
  <c r="DR96" i="1"/>
  <c r="DH139" i="1"/>
  <c r="DG139" i="1"/>
  <c r="DB90" i="1"/>
  <c r="CV90" i="1"/>
  <c r="BR90" i="1"/>
  <c r="BK90" i="1"/>
  <c r="DW90" i="1"/>
  <c r="BT90" i="1"/>
  <c r="CK90" i="1"/>
  <c r="DL141" i="1"/>
  <c r="DN141" i="1"/>
  <c r="BT95" i="1"/>
  <c r="BU95" i="1"/>
  <c r="CA95" i="1"/>
  <c r="CF95" i="1"/>
  <c r="CD95" i="1"/>
  <c r="DD95" i="1"/>
  <c r="DA95" i="1"/>
  <c r="DV154" i="1"/>
  <c r="CQ122" i="1"/>
  <c r="DO122" i="1"/>
  <c r="DV122" i="1"/>
  <c r="DR122" i="1"/>
  <c r="DG129" i="1"/>
  <c r="DD129" i="1"/>
  <c r="BR92" i="1"/>
  <c r="BQ92" i="1"/>
  <c r="CZ92" i="1"/>
  <c r="CA92" i="1"/>
  <c r="CS92" i="1"/>
  <c r="CY92" i="1"/>
  <c r="DJ92" i="1"/>
  <c r="BW92" i="1"/>
  <c r="CZ97" i="1"/>
  <c r="CW97" i="1"/>
  <c r="CL97" i="1"/>
  <c r="CC98" i="1"/>
  <c r="DD120" i="1"/>
  <c r="DO120" i="1"/>
  <c r="DF137" i="1"/>
  <c r="DM88" i="1"/>
  <c r="DQ130" i="1"/>
  <c r="CX123" i="1"/>
  <c r="DI123" i="1"/>
  <c r="DE128" i="1"/>
  <c r="CO93" i="1"/>
  <c r="CJ93" i="1"/>
  <c r="CF93" i="1"/>
  <c r="DW138" i="1"/>
  <c r="BY87" i="1"/>
  <c r="BH87" i="1"/>
  <c r="CJ87" i="1"/>
  <c r="DU150" i="1"/>
  <c r="BS94" i="1"/>
  <c r="CE94" i="1"/>
  <c r="DU94" i="1"/>
  <c r="CP96" i="1"/>
  <c r="CB96" i="1"/>
  <c r="DD90" i="1"/>
  <c r="BS90" i="1"/>
  <c r="CC95" i="1"/>
  <c r="BQ95" i="1"/>
  <c r="BX92" i="1"/>
  <c r="CI92" i="1"/>
  <c r="DR92" i="1"/>
  <c r="DS145" i="1"/>
  <c r="DW98" i="1"/>
  <c r="DO144" i="1"/>
  <c r="DJ144" i="1"/>
  <c r="DU144" i="1"/>
  <c r="DQ144" i="1"/>
  <c r="DM144" i="1"/>
  <c r="DT144" i="1"/>
  <c r="DN144" i="1"/>
  <c r="DW144" i="1"/>
  <c r="DK144" i="1"/>
  <c r="DP144" i="1"/>
  <c r="DR144" i="1"/>
  <c r="DV144" i="1"/>
  <c r="DV148" i="1"/>
  <c r="DN148" i="1"/>
  <c r="DW148" i="1"/>
  <c r="DO148" i="1"/>
  <c r="DR148" i="1"/>
  <c r="DQ148" i="1"/>
  <c r="DP148" i="1"/>
  <c r="DT148" i="1"/>
  <c r="DU148" i="1"/>
  <c r="BT89" i="1"/>
  <c r="BS89" i="1"/>
  <c r="DF89" i="1"/>
  <c r="BX89" i="1"/>
  <c r="DU89" i="1"/>
  <c r="BI89" i="1"/>
  <c r="CU89" i="1"/>
  <c r="CC89" i="1"/>
  <c r="BL89" i="1"/>
  <c r="DW89" i="1"/>
  <c r="BK89" i="1"/>
  <c r="CX89" i="1"/>
  <c r="BH89" i="1"/>
  <c r="DM89" i="1"/>
  <c r="CV89" i="1"/>
  <c r="CM89" i="1"/>
  <c r="DP89" i="1"/>
  <c r="DT89" i="1"/>
  <c r="DO89" i="1"/>
  <c r="DL89" i="1"/>
  <c r="CP89" i="1"/>
  <c r="CT89" i="1"/>
  <c r="DE89" i="1"/>
  <c r="BP89" i="1"/>
  <c r="CE89" i="1"/>
  <c r="DH89" i="1"/>
  <c r="CN89" i="1"/>
  <c r="DG89" i="1"/>
  <c r="CF89" i="1"/>
  <c r="CH89" i="1"/>
  <c r="CD89" i="1"/>
  <c r="CW89" i="1"/>
  <c r="DR89" i="1"/>
  <c r="BW89" i="1"/>
  <c r="CZ89" i="1"/>
  <c r="DJ89" i="1"/>
  <c r="CY89" i="1"/>
  <c r="BZ89" i="1"/>
  <c r="BN89" i="1"/>
  <c r="CO89" i="1"/>
  <c r="BV89" i="1"/>
  <c r="BO89" i="1"/>
  <c r="CR89" i="1"/>
  <c r="DB89" i="1"/>
  <c r="CQ89" i="1"/>
  <c r="BU89" i="1"/>
  <c r="BR89" i="1"/>
  <c r="DA89" i="1"/>
  <c r="CG89" i="1"/>
  <c r="DS89" i="1"/>
  <c r="BG89" i="1"/>
  <c r="CB89" i="1"/>
  <c r="DQ89" i="1"/>
  <c r="CA89" i="1"/>
  <c r="DN89" i="1"/>
  <c r="DD89" i="1"/>
  <c r="BM89" i="1"/>
  <c r="BQ89" i="1"/>
  <c r="DC89" i="1"/>
  <c r="CS89" i="1"/>
  <c r="DI142" i="1"/>
  <c r="DV142" i="1"/>
  <c r="DN142" i="1"/>
  <c r="DP142" i="1"/>
  <c r="DM142" i="1"/>
  <c r="DW142" i="1"/>
  <c r="DU142" i="1"/>
  <c r="DT142" i="1"/>
  <c r="DS142" i="1"/>
  <c r="DO142" i="1"/>
  <c r="DL142" i="1"/>
  <c r="DJ142" i="1"/>
  <c r="DQ142" i="1"/>
  <c r="DT124" i="1"/>
  <c r="DV124" i="1"/>
  <c r="DU124" i="1"/>
  <c r="CZ124" i="1"/>
  <c r="DN124" i="1"/>
  <c r="DL124" i="1"/>
  <c r="DS124" i="1"/>
  <c r="DO124" i="1"/>
  <c r="DK124" i="1"/>
  <c r="DJ124" i="1"/>
  <c r="CQ124" i="1"/>
  <c r="DD124" i="1"/>
  <c r="DQ124" i="1"/>
  <c r="DP124" i="1"/>
  <c r="DF124" i="1"/>
  <c r="DB124" i="1"/>
  <c r="DA124" i="1"/>
  <c r="DW124" i="1"/>
  <c r="CV124" i="1"/>
  <c r="DH124" i="1"/>
  <c r="DG124" i="1"/>
  <c r="CW124" i="1"/>
  <c r="CS124" i="1"/>
  <c r="CR124" i="1"/>
  <c r="CU124" i="1"/>
  <c r="DI124" i="1"/>
  <c r="DM124" i="1"/>
  <c r="CY124" i="1"/>
  <c r="CX124" i="1"/>
  <c r="CP124" i="1"/>
  <c r="DR124" i="1"/>
  <c r="DE124" i="1"/>
  <c r="DB132" i="1"/>
  <c r="DH132" i="1"/>
  <c r="DA132" i="1"/>
  <c r="CX132" i="1"/>
  <c r="DG132" i="1"/>
  <c r="CZ132" i="1"/>
  <c r="DU132" i="1"/>
  <c r="DV132" i="1"/>
  <c r="DO132" i="1"/>
  <c r="DM132" i="1"/>
  <c r="DT132" i="1"/>
  <c r="CY132" i="1"/>
  <c r="DF132" i="1"/>
  <c r="DE132" i="1"/>
  <c r="DL132" i="1"/>
  <c r="DS132" i="1"/>
  <c r="DC132" i="1"/>
  <c r="DJ132" i="1"/>
  <c r="DP132" i="1"/>
  <c r="DW132" i="1"/>
  <c r="DQ132" i="1"/>
  <c r="DI132" i="1"/>
  <c r="DP88" i="1"/>
  <c r="CT88" i="1"/>
  <c r="BP88" i="1"/>
  <c r="BT88" i="1"/>
  <c r="BI88" i="1"/>
  <c r="DU88" i="1"/>
  <c r="CP88" i="1"/>
  <c r="CE88" i="1"/>
  <c r="DG88" i="1"/>
  <c r="DU149" i="1"/>
  <c r="DT149" i="1"/>
  <c r="DO149" i="1"/>
  <c r="DP130" i="1"/>
  <c r="CW130" i="1"/>
  <c r="DM130" i="1"/>
  <c r="DR130" i="1"/>
  <c r="DU123" i="1"/>
  <c r="DQ123" i="1"/>
  <c r="DR123" i="1"/>
  <c r="DM123" i="1"/>
  <c r="DE123" i="1"/>
  <c r="CW123" i="1"/>
  <c r="DV128" i="1"/>
  <c r="DL140" i="1"/>
  <c r="DU93" i="1"/>
  <c r="CY93" i="1"/>
  <c r="BM93" i="1"/>
  <c r="DH93" i="1"/>
  <c r="DJ93" i="1"/>
  <c r="BO93" i="1"/>
  <c r="BQ93" i="1"/>
  <c r="CN93" i="1"/>
  <c r="DM138" i="1"/>
  <c r="DV138" i="1"/>
  <c r="DP138" i="1"/>
  <c r="DI138" i="1"/>
  <c r="BE87" i="1"/>
  <c r="BQ87" i="1"/>
  <c r="CM87" i="1"/>
  <c r="DN87" i="1"/>
  <c r="DR87" i="1"/>
  <c r="BK87" i="1"/>
  <c r="DA87" i="1"/>
  <c r="DL87" i="1"/>
  <c r="CB87" i="1"/>
  <c r="DH134" i="1"/>
  <c r="DW134" i="1"/>
  <c r="BT94" i="1"/>
  <c r="CC94" i="1"/>
  <c r="DB94" i="1"/>
  <c r="DO94" i="1"/>
  <c r="CM94" i="1"/>
  <c r="BU94" i="1"/>
  <c r="DL94" i="1"/>
  <c r="BQ94" i="1"/>
  <c r="BZ96" i="1"/>
  <c r="DK96" i="1"/>
  <c r="CV96" i="1"/>
  <c r="BW96" i="1"/>
  <c r="BX96" i="1"/>
  <c r="CO96" i="1"/>
  <c r="CJ96" i="1"/>
  <c r="CC96" i="1"/>
  <c r="BV96" i="1"/>
  <c r="DS136" i="1"/>
  <c r="DD136" i="1"/>
  <c r="DW139" i="1"/>
  <c r="DI139" i="1"/>
  <c r="CW131" i="1"/>
  <c r="DV131" i="1"/>
  <c r="DF131" i="1"/>
  <c r="DA131" i="1"/>
  <c r="DK90" i="1"/>
  <c r="DL90" i="1"/>
  <c r="CH90" i="1"/>
  <c r="DJ90" i="1"/>
  <c r="CA90" i="1"/>
  <c r="DR90" i="1"/>
  <c r="CJ90" i="1"/>
  <c r="CO90" i="1"/>
  <c r="DA90" i="1"/>
  <c r="DO141" i="1"/>
  <c r="DT141" i="1"/>
  <c r="DH141" i="1"/>
  <c r="DJ141" i="1"/>
  <c r="CJ95" i="1"/>
  <c r="CK95" i="1"/>
  <c r="BW95" i="1"/>
  <c r="BN95" i="1"/>
  <c r="CV95" i="1"/>
  <c r="BY95" i="1"/>
  <c r="BR95" i="1"/>
  <c r="DT95" i="1"/>
  <c r="DQ95" i="1"/>
  <c r="DG122" i="1"/>
  <c r="CV122" i="1"/>
  <c r="CO122" i="1"/>
  <c r="DN129" i="1"/>
  <c r="DT129" i="1"/>
  <c r="DC129" i="1"/>
  <c r="CV92" i="1"/>
  <c r="CH92" i="1"/>
  <c r="DO92" i="1"/>
  <c r="DP92" i="1"/>
  <c r="DW92" i="1"/>
  <c r="DI92" i="1"/>
  <c r="BN92" i="1"/>
  <c r="CN92" i="1"/>
  <c r="CM92" i="1"/>
  <c r="CO97" i="1"/>
  <c r="DF97" i="1"/>
  <c r="DB133" i="1"/>
  <c r="DV89" i="1"/>
  <c r="DN132" i="1"/>
  <c r="DV125" i="1"/>
  <c r="CZ88" i="1"/>
  <c r="CH88" i="1"/>
  <c r="DJ130" i="1"/>
  <c r="DH123" i="1"/>
  <c r="DS123" i="1"/>
  <c r="DT138" i="1"/>
  <c r="DF87" i="1"/>
  <c r="BN87" i="1"/>
  <c r="DR150" i="1"/>
  <c r="DQ134" i="1"/>
  <c r="CT94" i="1"/>
  <c r="CM90" i="1"/>
  <c r="BV90" i="1"/>
  <c r="CQ95" i="1"/>
  <c r="DI95" i="1"/>
  <c r="DH92" i="1"/>
  <c r="CE92" i="1"/>
  <c r="DR91" i="1"/>
  <c r="DI91" i="1"/>
  <c r="CX91" i="1"/>
  <c r="CJ91" i="1"/>
  <c r="DL91" i="1"/>
  <c r="DG91" i="1"/>
  <c r="CH91" i="1"/>
  <c r="BY91" i="1"/>
  <c r="DJ91" i="1"/>
  <c r="CP91" i="1"/>
  <c r="DA91" i="1"/>
  <c r="BR91" i="1"/>
  <c r="CB91" i="1"/>
  <c r="BX91" i="1"/>
  <c r="CY91" i="1"/>
  <c r="BP91" i="1"/>
  <c r="BQ91" i="1"/>
  <c r="DB91" i="1"/>
  <c r="DT91" i="1"/>
  <c r="CS91" i="1"/>
  <c r="CV91" i="1"/>
  <c r="BT91" i="1"/>
  <c r="CQ91" i="1"/>
  <c r="DU91" i="1"/>
  <c r="BI91" i="1"/>
  <c r="CT91" i="1"/>
  <c r="CN91" i="1"/>
  <c r="CK91" i="1"/>
  <c r="CM91" i="1"/>
  <c r="BL91" i="1"/>
  <c r="DK91" i="1"/>
  <c r="CI91" i="1"/>
  <c r="DM91" i="1"/>
  <c r="DD91" i="1"/>
  <c r="CL91" i="1"/>
  <c r="DS91" i="1"/>
  <c r="CC91" i="1"/>
  <c r="DP91" i="1"/>
  <c r="DV91" i="1"/>
  <c r="CU91" i="1"/>
  <c r="CA91" i="1"/>
  <c r="DE91" i="1"/>
  <c r="CF91" i="1"/>
  <c r="CD91" i="1"/>
  <c r="CE91" i="1"/>
  <c r="BU91" i="1"/>
  <c r="DH91" i="1"/>
  <c r="DF91" i="1"/>
  <c r="BW91" i="1"/>
  <c r="BS91" i="1"/>
  <c r="CW91" i="1"/>
  <c r="DC91" i="1"/>
  <c r="BN91" i="1"/>
  <c r="DQ91" i="1"/>
  <c r="CR91" i="1"/>
  <c r="BJ91" i="1"/>
  <c r="DO91" i="1"/>
  <c r="DN91" i="1"/>
  <c r="CG91" i="1"/>
  <c r="DR152" i="1"/>
  <c r="DV152" i="1"/>
  <c r="DU152" i="1"/>
  <c r="BO97" i="1"/>
  <c r="BV97" i="1"/>
  <c r="CC97" i="1"/>
  <c r="CP97" i="1"/>
  <c r="BQ97" i="1"/>
  <c r="DH97" i="1"/>
  <c r="BS97" i="1"/>
  <c r="DT97" i="1"/>
  <c r="DS97" i="1"/>
  <c r="BU97" i="1"/>
  <c r="CH97" i="1"/>
  <c r="DU97" i="1"/>
  <c r="CR97" i="1"/>
  <c r="DW97" i="1"/>
  <c r="DD97" i="1"/>
  <c r="DK97" i="1"/>
  <c r="DR97" i="1"/>
  <c r="BZ97" i="1"/>
  <c r="BY97" i="1"/>
  <c r="CB97" i="1"/>
  <c r="DG97" i="1"/>
  <c r="CN97" i="1"/>
  <c r="DC97" i="1"/>
  <c r="DJ97" i="1"/>
  <c r="DQ97" i="1"/>
  <c r="BR97" i="1"/>
  <c r="DL97" i="1"/>
  <c r="CQ97" i="1"/>
  <c r="BX97" i="1"/>
  <c r="CU97" i="1"/>
  <c r="DB97" i="1"/>
  <c r="DI97" i="1"/>
  <c r="DV97" i="1"/>
  <c r="CV97" i="1"/>
  <c r="DE97" i="1"/>
  <c r="CA97" i="1"/>
  <c r="CM97" i="1"/>
  <c r="CT97" i="1"/>
  <c r="DA97" i="1"/>
  <c r="DN97" i="1"/>
  <c r="DM97" i="1"/>
  <c r="CF97" i="1"/>
  <c r="DP97" i="1"/>
  <c r="BW97" i="1"/>
  <c r="CD97" i="1"/>
  <c r="CK97" i="1"/>
  <c r="CX97" i="1"/>
  <c r="CG97" i="1"/>
  <c r="CI97" i="1"/>
  <c r="DO97" i="1"/>
  <c r="CJ97" i="1"/>
  <c r="CY97" i="1"/>
  <c r="BU88" i="1"/>
  <c r="DB88" i="1"/>
  <c r="BX88" i="1"/>
  <c r="CR88" i="1"/>
  <c r="BQ88" i="1"/>
  <c r="BG88" i="1"/>
  <c r="CX88" i="1"/>
  <c r="DS88" i="1"/>
  <c r="DO88" i="1"/>
  <c r="DS149" i="1"/>
  <c r="DW149" i="1"/>
  <c r="DK130" i="1"/>
  <c r="DA123" i="1"/>
  <c r="CR123" i="1"/>
  <c r="DV123" i="1"/>
  <c r="DN123" i="1"/>
  <c r="DF123" i="1"/>
  <c r="CT128" i="1"/>
  <c r="DR128" i="1"/>
  <c r="DA128" i="1"/>
  <c r="DO140" i="1"/>
  <c r="DT140" i="1"/>
  <c r="CH93" i="1"/>
  <c r="DG93" i="1"/>
  <c r="BU93" i="1"/>
  <c r="CG93" i="1"/>
  <c r="DR93" i="1"/>
  <c r="BW93" i="1"/>
  <c r="CW93" i="1"/>
  <c r="CV93" i="1"/>
  <c r="DQ138" i="1"/>
  <c r="DJ138" i="1"/>
  <c r="DU87" i="1"/>
  <c r="CH87" i="1"/>
  <c r="CE87" i="1"/>
  <c r="CX87" i="1"/>
  <c r="DJ87" i="1"/>
  <c r="DV87" i="1"/>
  <c r="CS87" i="1"/>
  <c r="BX87" i="1"/>
  <c r="BT87" i="1"/>
  <c r="DW150" i="1"/>
  <c r="DP150" i="1"/>
  <c r="CH94" i="1"/>
  <c r="CB94" i="1"/>
  <c r="DI94" i="1"/>
  <c r="DJ94" i="1"/>
  <c r="CU94" i="1"/>
  <c r="DT94" i="1"/>
  <c r="BY94" i="1"/>
  <c r="DF96" i="1"/>
  <c r="CF96" i="1"/>
  <c r="BS96" i="1"/>
  <c r="CM96" i="1"/>
  <c r="CN96" i="1"/>
  <c r="CW96" i="1"/>
  <c r="CR96" i="1"/>
  <c r="CK96" i="1"/>
  <c r="CD96" i="1"/>
  <c r="DR136" i="1"/>
  <c r="DL136" i="1"/>
  <c r="DF136" i="1"/>
  <c r="DV139" i="1"/>
  <c r="DM139" i="1"/>
  <c r="DQ139" i="1"/>
  <c r="DJ139" i="1"/>
  <c r="DP131" i="1"/>
  <c r="DI131" i="1"/>
  <c r="DB131" i="1"/>
  <c r="DD131" i="1"/>
  <c r="BH90" i="1"/>
  <c r="DT90" i="1"/>
  <c r="CP90" i="1"/>
  <c r="CE90" i="1"/>
  <c r="CI90" i="1"/>
  <c r="BO90" i="1"/>
  <c r="CR90" i="1"/>
  <c r="DU90" i="1"/>
  <c r="DI90" i="1"/>
  <c r="DG141" i="1"/>
  <c r="DP141" i="1"/>
  <c r="DI141" i="1"/>
  <c r="DR141" i="1"/>
  <c r="CR95" i="1"/>
  <c r="CS95" i="1"/>
  <c r="CE95" i="1"/>
  <c r="CT95" i="1"/>
  <c r="DF95" i="1"/>
  <c r="CG95" i="1"/>
  <c r="BZ95" i="1"/>
  <c r="DG95" i="1"/>
  <c r="DN122" i="1"/>
  <c r="CX122" i="1"/>
  <c r="DC122" i="1"/>
  <c r="DD122" i="1"/>
  <c r="CW122" i="1"/>
  <c r="CR122" i="1"/>
  <c r="DK129" i="1"/>
  <c r="DO129" i="1"/>
  <c r="CV129" i="1"/>
  <c r="CW129" i="1"/>
  <c r="DL92" i="1"/>
  <c r="CP92" i="1"/>
  <c r="BL92" i="1"/>
  <c r="CF92" i="1"/>
  <c r="DQ92" i="1"/>
  <c r="BV92" i="1"/>
  <c r="DE92" i="1"/>
  <c r="CU92" i="1"/>
  <c r="DP145" i="1"/>
  <c r="DK145" i="1"/>
  <c r="DR145" i="1"/>
  <c r="BU98" i="1"/>
  <c r="CZ127" i="1"/>
  <c r="DV120" i="1"/>
  <c r="DC124" i="1"/>
  <c r="CP119" i="1"/>
  <c r="DF126" i="1"/>
  <c r="CT126" i="1"/>
  <c r="DA126" i="1"/>
  <c r="CX126" i="1"/>
  <c r="DK126" i="1"/>
  <c r="DW126" i="1"/>
  <c r="DU126" i="1"/>
  <c r="CS126" i="1"/>
  <c r="DP126" i="1"/>
  <c r="CR126" i="1"/>
  <c r="DD126" i="1"/>
  <c r="DQ126" i="1"/>
  <c r="DE126" i="1"/>
  <c r="DM126" i="1"/>
  <c r="DT126" i="1"/>
  <c r="DS126" i="1"/>
  <c r="DG126" i="1"/>
  <c r="CU126" i="1"/>
  <c r="CY126" i="1"/>
  <c r="DR126" i="1"/>
  <c r="DH126" i="1"/>
  <c r="CV126" i="1"/>
  <c r="DI126" i="1"/>
  <c r="DC126" i="1"/>
  <c r="DN126" i="1"/>
  <c r="DB126" i="1"/>
  <c r="CZ126" i="1"/>
  <c r="DL126" i="1"/>
  <c r="CL88" i="1"/>
  <c r="CY88" i="1"/>
  <c r="CV123" i="1"/>
  <c r="CQ93" i="1"/>
  <c r="DB93" i="1"/>
  <c r="DH138" i="1"/>
  <c r="CU87" i="1"/>
  <c r="CP87" i="1"/>
  <c r="DS134" i="1"/>
  <c r="BL94" i="1"/>
  <c r="DD94" i="1"/>
  <c r="CG96" i="1"/>
  <c r="DU136" i="1"/>
  <c r="DP139" i="1"/>
  <c r="CD90" i="1"/>
  <c r="CB90" i="1"/>
  <c r="CS90" i="1"/>
  <c r="BO95" i="1"/>
  <c r="DL95" i="1"/>
  <c r="DA92" i="1"/>
  <c r="DP146" i="1"/>
  <c r="DW146" i="1"/>
  <c r="DT146" i="1"/>
  <c r="DO146" i="1"/>
  <c r="DV146" i="1"/>
  <c r="DM146" i="1"/>
  <c r="DN146" i="1"/>
  <c r="DS146" i="1"/>
  <c r="DL146" i="1"/>
  <c r="DU146" i="1"/>
  <c r="DR146" i="1"/>
  <c r="DR151" i="1"/>
  <c r="DS151" i="1"/>
  <c r="DQ151" i="1"/>
  <c r="DT151" i="1"/>
  <c r="DV151" i="1"/>
  <c r="DU151" i="1"/>
  <c r="DW156" i="1"/>
  <c r="DV156" i="1"/>
  <c r="DH135" i="1"/>
  <c r="DO135" i="1"/>
  <c r="DV135" i="1"/>
  <c r="DJ135" i="1"/>
  <c r="DG135" i="1"/>
  <c r="DN135" i="1"/>
  <c r="DU135" i="1"/>
  <c r="DF135" i="1"/>
  <c r="DM135" i="1"/>
  <c r="DS135" i="1"/>
  <c r="DR135" i="1"/>
  <c r="DL135" i="1"/>
  <c r="DI135" i="1"/>
  <c r="DE135" i="1"/>
  <c r="DK135" i="1"/>
  <c r="DB135" i="1"/>
  <c r="DD135" i="1"/>
  <c r="DC135" i="1"/>
  <c r="DP135" i="1"/>
  <c r="DW135" i="1"/>
  <c r="DA135" i="1"/>
  <c r="DM147" i="1"/>
  <c r="DU147" i="1"/>
  <c r="DQ147" i="1"/>
  <c r="DP147" i="1"/>
  <c r="DW147" i="1"/>
  <c r="DO147" i="1"/>
  <c r="DT147" i="1"/>
  <c r="DS147" i="1"/>
  <c r="DN147" i="1"/>
  <c r="DR147" i="1"/>
  <c r="DI88" i="1"/>
  <c r="DJ88" i="1"/>
  <c r="CF88" i="1"/>
  <c r="DH88" i="1"/>
  <c r="BY88" i="1"/>
  <c r="CM88" i="1"/>
  <c r="DF88" i="1"/>
  <c r="BK88" i="1"/>
  <c r="DW88" i="1"/>
  <c r="DP149" i="1"/>
  <c r="CV130" i="1"/>
  <c r="DW130" i="1"/>
  <c r="DJ123" i="1"/>
  <c r="DP123" i="1"/>
  <c r="DW123" i="1"/>
  <c r="DO123" i="1"/>
  <c r="DI128" i="1"/>
  <c r="CU128" i="1"/>
  <c r="DF128" i="1"/>
  <c r="DM128" i="1"/>
  <c r="CV128" i="1"/>
  <c r="DF140" i="1"/>
  <c r="DI140" i="1"/>
  <c r="DJ140" i="1"/>
  <c r="DK140" i="1"/>
  <c r="DM140" i="1"/>
  <c r="DF93" i="1"/>
  <c r="DO93" i="1"/>
  <c r="CC93" i="1"/>
  <c r="DE93" i="1"/>
  <c r="BN93" i="1"/>
  <c r="DM93" i="1"/>
  <c r="CE93" i="1"/>
  <c r="CP93" i="1"/>
  <c r="DD93" i="1"/>
  <c r="DR138" i="1"/>
  <c r="DK138" i="1"/>
  <c r="DM87" i="1"/>
  <c r="CV87" i="1"/>
  <c r="BW87" i="1"/>
  <c r="BZ87" i="1"/>
  <c r="DB87" i="1"/>
  <c r="BR87" i="1"/>
  <c r="CK87" i="1"/>
  <c r="BF87" i="1"/>
  <c r="BL87" i="1"/>
  <c r="DV150" i="1"/>
  <c r="DA134" i="1"/>
  <c r="DB134" i="1"/>
  <c r="CX94" i="1"/>
  <c r="CJ94" i="1"/>
  <c r="DR94" i="1"/>
  <c r="CK94" i="1"/>
  <c r="DC94" i="1"/>
  <c r="BP94" i="1"/>
  <c r="BR94" i="1"/>
  <c r="CG94" i="1"/>
  <c r="BR96" i="1"/>
  <c r="CI96" i="1"/>
  <c r="DC96" i="1"/>
  <c r="DD96" i="1"/>
  <c r="DE96" i="1"/>
  <c r="CZ96" i="1"/>
  <c r="CS96" i="1"/>
  <c r="CL96" i="1"/>
  <c r="DK136" i="1"/>
  <c r="DT136" i="1"/>
  <c r="DN136" i="1"/>
  <c r="DG136" i="1"/>
  <c r="DR139" i="1"/>
  <c r="DK139" i="1"/>
  <c r="CY131" i="1"/>
  <c r="DQ131" i="1"/>
  <c r="DJ131" i="1"/>
  <c r="DC131" i="1"/>
  <c r="DL131" i="1"/>
  <c r="BP90" i="1"/>
  <c r="BW90" i="1"/>
  <c r="CX90" i="1"/>
  <c r="DS90" i="1"/>
  <c r="CQ90" i="1"/>
  <c r="DC90" i="1"/>
  <c r="CZ90" i="1"/>
  <c r="DQ90" i="1"/>
  <c r="DW141" i="1"/>
  <c r="DM141" i="1"/>
  <c r="DQ141" i="1"/>
  <c r="CZ95" i="1"/>
  <c r="DB95" i="1"/>
  <c r="CM95" i="1"/>
  <c r="DS95" i="1"/>
  <c r="DV95" i="1"/>
  <c r="CO95" i="1"/>
  <c r="CH95" i="1"/>
  <c r="DO95" i="1"/>
  <c r="DW154" i="1"/>
  <c r="CP122" i="1"/>
  <c r="DS122" i="1"/>
  <c r="DW122" i="1"/>
  <c r="DL122" i="1"/>
  <c r="DE122" i="1"/>
  <c r="CZ122" i="1"/>
  <c r="CS122" i="1"/>
  <c r="CX129" i="1"/>
  <c r="DJ129" i="1"/>
  <c r="DE129" i="1"/>
  <c r="CZ129" i="1"/>
  <c r="CX92" i="1"/>
  <c r="BT92" i="1"/>
  <c r="DD92" i="1"/>
  <c r="BM92" i="1"/>
  <c r="BP92" i="1"/>
  <c r="CD92" i="1"/>
  <c r="BS92" i="1"/>
  <c r="DC92" i="1"/>
  <c r="BO91" i="1"/>
  <c r="BM91" i="1"/>
  <c r="BT97" i="1"/>
  <c r="DJ98" i="1"/>
  <c r="CS120" i="1"/>
  <c r="CI89" i="1"/>
  <c r="DS144" i="1"/>
  <c r="DL144" i="1"/>
  <c r="DQ135" i="1"/>
  <c r="DD132" i="1"/>
  <c r="DQ88" i="1"/>
  <c r="DL123" i="1"/>
  <c r="DQ93" i="1"/>
  <c r="CA87" i="1"/>
  <c r="DI87" i="1"/>
  <c r="DO134" i="1"/>
  <c r="CA94" i="1"/>
  <c r="CY94" i="1"/>
  <c r="CU96" i="1"/>
  <c r="BZ90" i="1"/>
  <c r="CB95" i="1"/>
  <c r="DT154" i="1"/>
  <c r="BZ92" i="1"/>
  <c r="DO126" i="1"/>
  <c r="DW153" i="1"/>
  <c r="DS153" i="1"/>
  <c r="DT153" i="1"/>
  <c r="DV153" i="1"/>
  <c r="DU153" i="1"/>
  <c r="DU125" i="1"/>
  <c r="DF125" i="1"/>
  <c r="DW125" i="1"/>
  <c r="DM125" i="1"/>
  <c r="DT125" i="1"/>
  <c r="DR125" i="1"/>
  <c r="CR125" i="1"/>
  <c r="DI125" i="1"/>
  <c r="DO125" i="1"/>
  <c r="CT125" i="1"/>
  <c r="DE125" i="1"/>
  <c r="DL125" i="1"/>
  <c r="DS125" i="1"/>
  <c r="DG125" i="1"/>
  <c r="CX125" i="1"/>
  <c r="CW125" i="1"/>
  <c r="DD125" i="1"/>
  <c r="DK125" i="1"/>
  <c r="CS125" i="1"/>
  <c r="DJ125" i="1"/>
  <c r="DN125" i="1"/>
  <c r="CV125" i="1"/>
  <c r="DC125" i="1"/>
  <c r="CY125" i="1"/>
  <c r="CU125" i="1"/>
  <c r="DP125" i="1"/>
  <c r="DH125" i="1"/>
  <c r="DQ125" i="1"/>
  <c r="CQ125" i="1"/>
  <c r="CZ125" i="1"/>
  <c r="DL143" i="1"/>
  <c r="DS143" i="1"/>
  <c r="DU143" i="1"/>
  <c r="DK143" i="1"/>
  <c r="DR143" i="1"/>
  <c r="DM143" i="1"/>
  <c r="DJ143" i="1"/>
  <c r="DW143" i="1"/>
  <c r="DN143" i="1"/>
  <c r="DO143" i="1"/>
  <c r="DI143" i="1"/>
  <c r="DV143" i="1"/>
  <c r="DQ143" i="1"/>
  <c r="DP143" i="1"/>
  <c r="DT143" i="1"/>
  <c r="BF88" i="1"/>
  <c r="DR88" i="1"/>
  <c r="CN88" i="1"/>
  <c r="CG88" i="1"/>
  <c r="DK88" i="1"/>
  <c r="DN88" i="1"/>
  <c r="BS88" i="1"/>
  <c r="DG130" i="1"/>
  <c r="CZ130" i="1"/>
  <c r="DS130" i="1"/>
  <c r="DH130" i="1"/>
  <c r="CX130" i="1"/>
  <c r="DC128" i="1"/>
  <c r="DD128" i="1"/>
  <c r="CY128" i="1"/>
  <c r="DG140" i="1"/>
  <c r="DQ140" i="1"/>
  <c r="DS140" i="1"/>
  <c r="DU140" i="1"/>
  <c r="DV140" i="1"/>
  <c r="DW140" i="1"/>
  <c r="BK93" i="1"/>
  <c r="DW93" i="1"/>
  <c r="CK93" i="1"/>
  <c r="BZ93" i="1"/>
  <c r="BV93" i="1"/>
  <c r="BR93" i="1"/>
  <c r="CM93" i="1"/>
  <c r="CR93" i="1"/>
  <c r="DL93" i="1"/>
  <c r="DO138" i="1"/>
  <c r="DU138" i="1"/>
  <c r="DS138" i="1"/>
  <c r="DE87" i="1"/>
  <c r="BO87" i="1"/>
  <c r="DT87" i="1"/>
  <c r="CT87" i="1"/>
  <c r="BJ87" i="1"/>
  <c r="CC87" i="1"/>
  <c r="DP87" i="1"/>
  <c r="DP134" i="1"/>
  <c r="DK134" i="1"/>
  <c r="DI134" i="1"/>
  <c r="DJ134" i="1"/>
  <c r="DD134" i="1"/>
  <c r="CR94" i="1"/>
  <c r="BN94" i="1"/>
  <c r="DA94" i="1"/>
  <c r="DK94" i="1"/>
  <c r="BX94" i="1"/>
  <c r="CQ94" i="1"/>
  <c r="CO94" i="1"/>
  <c r="CA96" i="1"/>
  <c r="CH96" i="1"/>
  <c r="CY96" i="1"/>
  <c r="DS96" i="1"/>
  <c r="DT96" i="1"/>
  <c r="DM96" i="1"/>
  <c r="DH96" i="1"/>
  <c r="DA96" i="1"/>
  <c r="CT96" i="1"/>
  <c r="DV136" i="1"/>
  <c r="DO136" i="1"/>
  <c r="DH136" i="1"/>
  <c r="DE139" i="1"/>
  <c r="DF139" i="1"/>
  <c r="DS139" i="1"/>
  <c r="DL139" i="1"/>
  <c r="DM131" i="1"/>
  <c r="CX131" i="1"/>
  <c r="DG131" i="1"/>
  <c r="DR131" i="1"/>
  <c r="DK131" i="1"/>
  <c r="DT131" i="1"/>
  <c r="BX90" i="1"/>
  <c r="BQ90" i="1"/>
  <c r="DF90" i="1"/>
  <c r="BI90" i="1"/>
  <c r="CY90" i="1"/>
  <c r="BY90" i="1"/>
  <c r="DH90" i="1"/>
  <c r="BM90" i="1"/>
  <c r="DS141" i="1"/>
  <c r="DU141" i="1"/>
  <c r="CI95" i="1"/>
  <c r="DN95" i="1"/>
  <c r="DR95" i="1"/>
  <c r="CU95" i="1"/>
  <c r="DM95" i="1"/>
  <c r="CW95" i="1"/>
  <c r="CP95" i="1"/>
  <c r="DW95" i="1"/>
  <c r="DK122" i="1"/>
  <c r="DT122" i="1"/>
  <c r="DM122" i="1"/>
  <c r="DH122" i="1"/>
  <c r="DA122" i="1"/>
  <c r="CT122" i="1"/>
  <c r="DW129" i="1"/>
  <c r="DV129" i="1"/>
  <c r="DM129" i="1"/>
  <c r="DH129" i="1"/>
  <c r="DA129" i="1"/>
  <c r="CO92" i="1"/>
  <c r="DF92" i="1"/>
  <c r="CB92" i="1"/>
  <c r="BY92" i="1"/>
  <c r="BU92" i="1"/>
  <c r="DT92" i="1"/>
  <c r="CL92" i="1"/>
  <c r="DG92" i="1"/>
  <c r="DK92" i="1"/>
  <c r="CO91" i="1"/>
  <c r="CS97" i="1"/>
  <c r="DI89" i="1"/>
  <c r="DR142" i="1"/>
  <c r="DK142" i="1"/>
  <c r="DK132" i="1"/>
  <c r="DT152" i="1"/>
  <c r="DW152" i="1"/>
  <c r="DT88" i="1"/>
  <c r="CR120" i="1"/>
  <c r="CY120" i="1"/>
  <c r="DF120" i="1"/>
  <c r="DK120" i="1"/>
  <c r="DR120" i="1"/>
  <c r="DL120" i="1"/>
  <c r="CQ120" i="1"/>
  <c r="CX120" i="1"/>
  <c r="DC120" i="1"/>
  <c r="DJ120" i="1"/>
  <c r="DQ120" i="1"/>
  <c r="CO120" i="1"/>
  <c r="CP120" i="1"/>
  <c r="CU120" i="1"/>
  <c r="DB120" i="1"/>
  <c r="CV120" i="1"/>
  <c r="DA120" i="1"/>
  <c r="CM120" i="1"/>
  <c r="CT120" i="1"/>
  <c r="DI120" i="1"/>
  <c r="DU120" i="1"/>
  <c r="CW120" i="1"/>
  <c r="CL120" i="1"/>
  <c r="CN120" i="1"/>
  <c r="DP120" i="1"/>
  <c r="DW120" i="1"/>
  <c r="DM120" i="1"/>
  <c r="DE120" i="1"/>
  <c r="CZ120" i="1"/>
  <c r="DG120" i="1"/>
  <c r="DN120" i="1"/>
  <c r="DS120" i="1"/>
  <c r="DT120" i="1"/>
  <c r="DF133" i="1"/>
  <c r="DM133" i="1"/>
  <c r="DT133" i="1"/>
  <c r="DE133" i="1"/>
  <c r="DL133" i="1"/>
  <c r="DS133" i="1"/>
  <c r="DJ133" i="1"/>
  <c r="DD133" i="1"/>
  <c r="DK133" i="1"/>
  <c r="DQ133" i="1"/>
  <c r="DW133" i="1"/>
  <c r="CZ133" i="1"/>
  <c r="DC133" i="1"/>
  <c r="DI133" i="1"/>
  <c r="DP133" i="1"/>
  <c r="CY133" i="1"/>
  <c r="DA133" i="1"/>
  <c r="DH133" i="1"/>
  <c r="DR133" i="1"/>
  <c r="DN133" i="1"/>
  <c r="DU133" i="1"/>
  <c r="DG133" i="1"/>
  <c r="CF98" i="1"/>
  <c r="CM98" i="1"/>
  <c r="CT98" i="1"/>
  <c r="DG98" i="1"/>
  <c r="DF98" i="1"/>
  <c r="BY98" i="1"/>
  <c r="DN98" i="1"/>
  <c r="DM98" i="1"/>
  <c r="DH98" i="1"/>
  <c r="BX98" i="1"/>
  <c r="CE98" i="1"/>
  <c r="CL98" i="1"/>
  <c r="CY98" i="1"/>
  <c r="CP98" i="1"/>
  <c r="BR98" i="1"/>
  <c r="CW98" i="1"/>
  <c r="CB98" i="1"/>
  <c r="BP98" i="1"/>
  <c r="BW98" i="1"/>
  <c r="CD98" i="1"/>
  <c r="CQ98" i="1"/>
  <c r="BZ98" i="1"/>
  <c r="CX98" i="1"/>
  <c r="CR98" i="1"/>
  <c r="CG98" i="1"/>
  <c r="DT98" i="1"/>
  <c r="BV98" i="1"/>
  <c r="CI98" i="1"/>
  <c r="DQ98" i="1"/>
  <c r="DP98" i="1"/>
  <c r="BQ98" i="1"/>
  <c r="DL98" i="1"/>
  <c r="DS98" i="1"/>
  <c r="CA98" i="1"/>
  <c r="DA98" i="1"/>
  <c r="CZ98" i="1"/>
  <c r="DI98" i="1"/>
  <c r="DD98" i="1"/>
  <c r="DK98" i="1"/>
  <c r="DR98" i="1"/>
  <c r="BS98" i="1"/>
  <c r="DU98" i="1"/>
  <c r="CK98" i="1"/>
  <c r="CJ98" i="1"/>
  <c r="CS98" i="1"/>
  <c r="CN98" i="1"/>
  <c r="CU98" i="1"/>
  <c r="DB98" i="1"/>
  <c r="DO98" i="1"/>
  <c r="DV98" i="1"/>
  <c r="CO98" i="1"/>
  <c r="CH98" i="1"/>
  <c r="CL119" i="1"/>
  <c r="CM119" i="1"/>
  <c r="DL119" i="1"/>
  <c r="DW119" i="1"/>
  <c r="DT119" i="1"/>
  <c r="CV119" i="1"/>
  <c r="DO119" i="1"/>
  <c r="DV119" i="1"/>
  <c r="DD119" i="1"/>
  <c r="DG119" i="1"/>
  <c r="DN119" i="1"/>
  <c r="DU119" i="1"/>
  <c r="CN119" i="1"/>
  <c r="DQ119" i="1"/>
  <c r="DP119" i="1"/>
  <c r="CY119" i="1"/>
  <c r="DF119" i="1"/>
  <c r="DM119" i="1"/>
  <c r="DR119" i="1"/>
  <c r="DA119" i="1"/>
  <c r="CZ119" i="1"/>
  <c r="CQ119" i="1"/>
  <c r="CX119" i="1"/>
  <c r="DE119" i="1"/>
  <c r="DJ119" i="1"/>
  <c r="DH119" i="1"/>
  <c r="CK119" i="1"/>
  <c r="DK119" i="1"/>
  <c r="CO119" i="1"/>
  <c r="CT119" i="1"/>
  <c r="DC119" i="1"/>
  <c r="CS119" i="1"/>
  <c r="DI119" i="1"/>
  <c r="CX127" i="1"/>
  <c r="CV127" i="1"/>
  <c r="DQ127" i="1"/>
  <c r="DP127" i="1"/>
  <c r="DD127" i="1"/>
  <c r="DA127" i="1"/>
  <c r="DR127" i="1"/>
  <c r="DL127" i="1"/>
  <c r="DI127" i="1"/>
  <c r="DW127" i="1"/>
  <c r="DS127" i="1"/>
  <c r="DE127" i="1"/>
  <c r="DO127" i="1"/>
  <c r="DV127" i="1"/>
  <c r="DK127" i="1"/>
  <c r="DT127" i="1"/>
  <c r="CS127" i="1"/>
  <c r="DU127" i="1"/>
  <c r="DB127" i="1"/>
  <c r="CY127" i="1"/>
  <c r="DF127" i="1"/>
  <c r="CU127" i="1"/>
  <c r="CT127" i="1"/>
  <c r="DM127" i="1"/>
  <c r="DJ127" i="1"/>
  <c r="BL88" i="1"/>
  <c r="BN88" i="1"/>
  <c r="CK88" i="1"/>
  <c r="CV88" i="1"/>
  <c r="CC88" i="1"/>
  <c r="CO88" i="1"/>
  <c r="BJ88" i="1"/>
  <c r="DV88" i="1"/>
  <c r="CA88" i="1"/>
  <c r="DE130" i="1"/>
  <c r="DU130" i="1"/>
  <c r="DC130" i="1"/>
  <c r="DF130" i="1"/>
  <c r="DG123" i="1"/>
  <c r="CS123" i="1"/>
  <c r="CU123" i="1"/>
  <c r="DS128" i="1"/>
  <c r="DB128" i="1"/>
  <c r="CX128" i="1"/>
  <c r="DQ128" i="1"/>
  <c r="DL128" i="1"/>
  <c r="DG128" i="1"/>
  <c r="CZ128" i="1"/>
  <c r="DR140" i="1"/>
  <c r="DH140" i="1"/>
  <c r="BS93" i="1"/>
  <c r="CS93" i="1"/>
  <c r="CX93" i="1"/>
  <c r="CD93" i="1"/>
  <c r="DN93" i="1"/>
  <c r="CU93" i="1"/>
  <c r="DT93" i="1"/>
  <c r="DE138" i="1"/>
  <c r="DO87" i="1"/>
  <c r="CW87" i="1"/>
  <c r="DS87" i="1"/>
  <c r="DW87" i="1"/>
  <c r="DD87" i="1"/>
  <c r="CL87" i="1"/>
  <c r="CN87" i="1"/>
  <c r="BU87" i="1"/>
  <c r="DH87" i="1"/>
  <c r="DR134" i="1"/>
  <c r="DL134" i="1"/>
  <c r="DE134" i="1"/>
  <c r="CI94" i="1"/>
  <c r="CZ94" i="1"/>
  <c r="BV94" i="1"/>
  <c r="CP94" i="1"/>
  <c r="DS94" i="1"/>
  <c r="CF94" i="1"/>
  <c r="BM94" i="1"/>
  <c r="CW94" i="1"/>
  <c r="DG96" i="1"/>
  <c r="CX96" i="1"/>
  <c r="DO96" i="1"/>
  <c r="DV96" i="1"/>
  <c r="DU96" i="1"/>
  <c r="DP96" i="1"/>
  <c r="DI96" i="1"/>
  <c r="DB96" i="1"/>
  <c r="DE136" i="1"/>
  <c r="DW136" i="1"/>
  <c r="DP136" i="1"/>
  <c r="DI136" i="1"/>
  <c r="DN139" i="1"/>
  <c r="DT139" i="1"/>
  <c r="DU131" i="1"/>
  <c r="DE131" i="1"/>
  <c r="DH131" i="1"/>
  <c r="DO131" i="1"/>
  <c r="DS131" i="1"/>
  <c r="BN90" i="1"/>
  <c r="CF90" i="1"/>
  <c r="DM90" i="1"/>
  <c r="DN90" i="1"/>
  <c r="CG90" i="1"/>
  <c r="DG90" i="1"/>
  <c r="CW90" i="1"/>
  <c r="DP90" i="1"/>
  <c r="BU90" i="1"/>
  <c r="DK141" i="1"/>
  <c r="CY95" i="1"/>
  <c r="BV95" i="1"/>
  <c r="DE95" i="1"/>
  <c r="BP95" i="1"/>
  <c r="DJ95" i="1"/>
  <c r="CX95" i="1"/>
  <c r="DH95" i="1"/>
  <c r="DU122" i="1"/>
  <c r="DP122" i="1"/>
  <c r="DI122" i="1"/>
  <c r="DB122" i="1"/>
  <c r="DL129" i="1"/>
  <c r="DF129" i="1"/>
  <c r="DU129" i="1"/>
  <c r="DP129" i="1"/>
  <c r="DI129" i="1"/>
  <c r="DM92" i="1"/>
  <c r="DN92" i="1"/>
  <c r="CJ92" i="1"/>
  <c r="CW92" i="1"/>
  <c r="CC92" i="1"/>
  <c r="CG92" i="1"/>
  <c r="CT92" i="1"/>
  <c r="DS92" i="1"/>
  <c r="DQ145" i="1"/>
  <c r="BK91" i="1"/>
  <c r="CW127" i="1"/>
  <c r="DV133" i="1"/>
  <c r="DK89" i="1"/>
  <c r="CL89" i="1"/>
  <c r="CT124" i="1"/>
  <c r="CW119" i="1"/>
  <c r="DR132" i="1"/>
  <c r="CW126" i="1"/>
  <c r="DV126" i="1"/>
  <c r="DW155" i="1"/>
  <c r="DV155" i="1"/>
  <c r="DU155" i="1"/>
  <c r="DA121" i="1"/>
  <c r="DH121" i="1"/>
  <c r="DO121" i="1"/>
  <c r="DT121" i="1"/>
  <c r="DE121" i="1"/>
  <c r="CW121" i="1"/>
  <c r="CT121" i="1"/>
  <c r="CS121" i="1"/>
  <c r="CZ121" i="1"/>
  <c r="DG121" i="1"/>
  <c r="DL121" i="1"/>
  <c r="DS121" i="1"/>
  <c r="CR121" i="1"/>
  <c r="CY121" i="1"/>
  <c r="DD121" i="1"/>
  <c r="DK121" i="1"/>
  <c r="DJ121" i="1"/>
  <c r="CX121" i="1"/>
  <c r="CQ121" i="1"/>
  <c r="CV121" i="1"/>
  <c r="DC121" i="1"/>
  <c r="CO121" i="1"/>
  <c r="DV121" i="1"/>
  <c r="DU121" i="1"/>
  <c r="CP121" i="1"/>
  <c r="CN121" i="1"/>
  <c r="CU121" i="1"/>
  <c r="DB121" i="1"/>
  <c r="CM121" i="1"/>
  <c r="DF121" i="1"/>
  <c r="DN121" i="1"/>
  <c r="DI121" i="1"/>
  <c r="DP121" i="1"/>
  <c r="DW121" i="1"/>
  <c r="DR121" i="1"/>
  <c r="DM121" i="1"/>
  <c r="DJ137" i="1"/>
  <c r="DQ137" i="1"/>
  <c r="DT137" i="1"/>
  <c r="DL137" i="1"/>
  <c r="DI137" i="1"/>
  <c r="DP137" i="1"/>
  <c r="DW137" i="1"/>
  <c r="DD137" i="1"/>
  <c r="DH137" i="1"/>
  <c r="DO137" i="1"/>
  <c r="DU137" i="1"/>
  <c r="DG137" i="1"/>
  <c r="DM137" i="1"/>
  <c r="DK137" i="1"/>
  <c r="DE137" i="1"/>
  <c r="DV137" i="1"/>
  <c r="DS137" i="1"/>
  <c r="DC137" i="1"/>
  <c r="DR137" i="1"/>
  <c r="CB88" i="1"/>
  <c r="BV88" i="1"/>
  <c r="BO88" i="1"/>
  <c r="DD88" i="1"/>
  <c r="DA88" i="1"/>
  <c r="CW88" i="1"/>
  <c r="BR88" i="1"/>
  <c r="BM88" i="1"/>
  <c r="DD130" i="1"/>
  <c r="DO130" i="1"/>
  <c r="DN130" i="1"/>
  <c r="DB123" i="1"/>
  <c r="DT123" i="1"/>
  <c r="CP123" i="1"/>
  <c r="CQ123" i="1"/>
  <c r="DN128" i="1"/>
  <c r="DK128" i="1"/>
  <c r="DT128" i="1"/>
  <c r="DO128" i="1"/>
  <c r="CA93" i="1"/>
  <c r="CB93" i="1"/>
  <c r="DA93" i="1"/>
  <c r="DV93" i="1"/>
  <c r="CL93" i="1"/>
  <c r="BL93" i="1"/>
  <c r="DC93" i="1"/>
  <c r="DL138" i="1"/>
  <c r="CY87" i="1"/>
  <c r="CO87" i="1"/>
  <c r="DK87" i="1"/>
  <c r="DG87" i="1"/>
  <c r="CF87" i="1"/>
  <c r="CD87" i="1"/>
  <c r="BG87" i="1"/>
  <c r="BM87" i="1"/>
  <c r="DC134" i="1"/>
  <c r="DT134" i="1"/>
  <c r="DM134" i="1"/>
  <c r="DG94" i="1"/>
  <c r="DH94" i="1"/>
  <c r="CD94" i="1"/>
  <c r="DF94" i="1"/>
  <c r="BO94" i="1"/>
  <c r="BZ94" i="1"/>
  <c r="CN94" i="1"/>
  <c r="CS94" i="1"/>
  <c r="BO96" i="1"/>
  <c r="DN96" i="1"/>
  <c r="CQ96" i="1"/>
  <c r="DW96" i="1"/>
  <c r="BQ96" i="1"/>
  <c r="DQ96" i="1"/>
  <c r="DB136" i="1"/>
  <c r="DM136" i="1"/>
  <c r="DN131" i="1"/>
  <c r="CL90" i="1"/>
  <c r="CN90" i="1"/>
  <c r="BJ90" i="1"/>
  <c r="DV90" i="1"/>
  <c r="DE90" i="1"/>
  <c r="DO90" i="1"/>
  <c r="BL90" i="1"/>
  <c r="CT90" i="1"/>
  <c r="BM95" i="1"/>
  <c r="CL95" i="1"/>
  <c r="DU95" i="1"/>
  <c r="BX95" i="1"/>
  <c r="DC95" i="1"/>
  <c r="BS95" i="1"/>
  <c r="DK95" i="1"/>
  <c r="CU122" i="1"/>
  <c r="CY122" i="1"/>
  <c r="DQ122" i="1"/>
  <c r="CY129" i="1"/>
  <c r="DS129" i="1"/>
  <c r="BJ92" i="1"/>
  <c r="DV92" i="1"/>
  <c r="CR92" i="1"/>
  <c r="DU92" i="1"/>
  <c r="CK92" i="1"/>
  <c r="BK92" i="1"/>
  <c r="DB92" i="1"/>
  <c r="DW145" i="1"/>
  <c r="DW91" i="1"/>
  <c r="BV91" i="1"/>
  <c r="BP97" i="1"/>
  <c r="DC98" i="1"/>
  <c r="DH127" i="1"/>
  <c r="DG127" i="1"/>
  <c r="BY89" i="1"/>
  <c r="CJ89" i="1"/>
  <c r="CU119" i="1"/>
  <c r="DS119" i="1"/>
  <c r="DS152" i="1"/>
  <c r="DA125" i="1"/>
  <c r="EB13" i="1"/>
  <c r="AL13" i="1"/>
  <c r="EB77" i="1"/>
  <c r="AL77" i="1"/>
  <c r="EB71" i="1"/>
  <c r="AL71" i="1"/>
  <c r="EB11" i="1"/>
  <c r="AL11" i="1"/>
  <c r="EB80" i="1"/>
  <c r="AL80" i="1"/>
  <c r="EB48" i="1"/>
  <c r="AL48" i="1"/>
  <c r="EB72" i="1"/>
  <c r="AL72" i="1"/>
  <c r="AL20" i="1"/>
  <c r="EB20" i="1"/>
  <c r="EB59" i="1"/>
  <c r="AL59" i="1"/>
  <c r="EB17" i="1"/>
  <c r="AL17" i="1"/>
  <c r="EB73" i="1"/>
  <c r="AL73" i="1"/>
  <c r="EB64" i="1"/>
  <c r="AL64" i="1"/>
  <c r="EB45" i="1"/>
  <c r="AL45" i="1"/>
  <c r="EB66" i="1"/>
  <c r="AL66" i="1"/>
  <c r="EB69" i="1"/>
  <c r="AL69" i="1"/>
  <c r="EB76" i="1"/>
  <c r="AL76" i="1"/>
  <c r="AL47" i="1"/>
  <c r="EB47" i="1"/>
  <c r="EB19" i="1"/>
  <c r="AL19" i="1"/>
  <c r="EB74" i="1"/>
  <c r="AL74" i="1"/>
  <c r="EB65" i="1"/>
  <c r="AL65" i="1"/>
  <c r="EB10" i="1"/>
  <c r="AL10" i="1"/>
  <c r="U10" i="1" s="1"/>
  <c r="W10" i="1" s="1"/>
  <c r="EB61" i="1"/>
  <c r="AL61" i="1"/>
  <c r="AL54" i="1"/>
  <c r="EB54" i="1"/>
  <c r="EB60" i="1"/>
  <c r="AL60" i="1"/>
  <c r="EB12" i="1"/>
  <c r="AL12" i="1"/>
  <c r="EB42" i="1"/>
  <c r="AL42" i="1"/>
  <c r="EB53" i="1"/>
  <c r="AL53" i="1"/>
  <c r="EB51" i="1"/>
  <c r="AL51" i="1"/>
  <c r="EB43" i="1"/>
  <c r="AL43" i="1"/>
  <c r="EB70" i="1"/>
  <c r="AL70" i="1"/>
  <c r="EB67" i="1"/>
  <c r="AL67" i="1"/>
  <c r="EB79" i="1"/>
  <c r="AL79" i="1"/>
  <c r="EB56" i="1"/>
  <c r="AL56" i="1"/>
  <c r="EB15" i="1"/>
  <c r="AL15" i="1"/>
  <c r="AL63" i="1"/>
  <c r="EB63" i="1"/>
  <c r="AL46" i="1"/>
  <c r="EB46" i="1"/>
  <c r="EB21" i="1"/>
  <c r="AL21" i="1"/>
  <c r="EB16" i="1"/>
  <c r="AL16" i="1"/>
  <c r="EB49" i="1"/>
  <c r="AL49" i="1"/>
  <c r="EB55" i="1"/>
  <c r="AL55" i="1"/>
  <c r="AL62" i="1"/>
  <c r="EB62" i="1"/>
  <c r="EB75" i="1"/>
  <c r="AL75" i="1"/>
  <c r="EB57" i="1"/>
  <c r="AL57" i="1"/>
  <c r="EB44" i="1"/>
  <c r="AL44" i="1"/>
  <c r="EB50" i="1"/>
  <c r="AL50" i="1"/>
  <c r="EB58" i="1"/>
  <c r="AL58" i="1"/>
  <c r="AL14" i="1"/>
  <c r="EB14" i="1"/>
  <c r="AL52" i="1"/>
  <c r="EB52" i="1"/>
  <c r="AL78" i="1"/>
  <c r="EB78" i="1"/>
  <c r="AL68" i="1"/>
  <c r="EB68" i="1"/>
  <c r="EB18" i="1"/>
  <c r="AL18" i="1"/>
  <c r="S10" i="1"/>
  <c r="S13" i="1"/>
  <c r="S77" i="1"/>
  <c r="S65" i="1"/>
  <c r="S71" i="1"/>
  <c r="S47" i="1"/>
  <c r="S80" i="1"/>
  <c r="S61" i="1"/>
  <c r="S48" i="1"/>
  <c r="S54" i="1"/>
  <c r="S72" i="1"/>
  <c r="S60" i="1"/>
  <c r="S19" i="1"/>
  <c r="BE9" i="1"/>
  <c r="BE81" i="1" s="1"/>
  <c r="BE83" i="1" s="1"/>
  <c r="S45" i="1"/>
  <c r="S42" i="1"/>
  <c r="S57" i="1"/>
  <c r="S53" i="1"/>
  <c r="S20" i="1"/>
  <c r="S51" i="1"/>
  <c r="S44" i="1"/>
  <c r="S11" i="1"/>
  <c r="S70" i="1"/>
  <c r="S59" i="1"/>
  <c r="S67" i="1"/>
  <c r="S17" i="1"/>
  <c r="S79" i="1"/>
  <c r="S56" i="1"/>
  <c r="S12" i="1"/>
  <c r="S75" i="1"/>
  <c r="S63" i="1"/>
  <c r="S73" i="1"/>
  <c r="S46" i="1"/>
  <c r="S64" i="1"/>
  <c r="S21" i="1"/>
  <c r="S43" i="1"/>
  <c r="S16" i="1"/>
  <c r="S49" i="1"/>
  <c r="S66" i="1"/>
  <c r="S55" i="1"/>
  <c r="S62" i="1"/>
  <c r="S50" i="1"/>
  <c r="S58" i="1"/>
  <c r="S69" i="1"/>
  <c r="S14" i="1"/>
  <c r="S76" i="1"/>
  <c r="S52" i="1"/>
  <c r="S15" i="1"/>
  <c r="S78" i="1"/>
  <c r="S68" i="1"/>
  <c r="S74" i="1"/>
  <c r="S18" i="1"/>
  <c r="BI81" i="1"/>
  <c r="BI83" i="1" s="1"/>
  <c r="BL81" i="1"/>
  <c r="BL83" i="1" s="1"/>
  <c r="BJ81" i="1"/>
  <c r="BJ83" i="1" s="1"/>
  <c r="BK81" i="1"/>
  <c r="BK83" i="1" s="1"/>
  <c r="BM81" i="1"/>
  <c r="BM83" i="1" s="1"/>
  <c r="BQ81" i="1" l="1"/>
  <c r="BQ83" i="1" s="1"/>
  <c r="BV81" i="1"/>
  <c r="BV83" i="1" s="1"/>
  <c r="BY81" i="1"/>
  <c r="BY83" i="1" s="1"/>
  <c r="CA81" i="1"/>
  <c r="CA83" i="1" s="1"/>
  <c r="BX81" i="1"/>
  <c r="BX83" i="1" s="1"/>
  <c r="BR81" i="1"/>
  <c r="BR83" i="1" s="1"/>
  <c r="CX81" i="1"/>
  <c r="CX83" i="1" s="1"/>
  <c r="CJ81" i="1"/>
  <c r="CJ83" i="1" s="1"/>
  <c r="BU81" i="1"/>
  <c r="BU83" i="1" s="1"/>
  <c r="CB81" i="1"/>
  <c r="CB83" i="1" s="1"/>
  <c r="CM81" i="1"/>
  <c r="CM83" i="1" s="1"/>
  <c r="BW81" i="1"/>
  <c r="BW83" i="1" s="1"/>
  <c r="CE81" i="1"/>
  <c r="CE83" i="1" s="1"/>
  <c r="BP81" i="1"/>
  <c r="BP83" i="1" s="1"/>
  <c r="CL81" i="1"/>
  <c r="CL83" i="1" s="1"/>
  <c r="CF81" i="1"/>
  <c r="CF83" i="1" s="1"/>
  <c r="CC81" i="1"/>
  <c r="CC83" i="1" s="1"/>
  <c r="CH81" i="1"/>
  <c r="CH83" i="1" s="1"/>
  <c r="DC81" i="1"/>
  <c r="DC83" i="1" s="1"/>
  <c r="DE81" i="1"/>
  <c r="DE83" i="1" s="1"/>
  <c r="DI81" i="1"/>
  <c r="DI83" i="1" s="1"/>
  <c r="BN81" i="1"/>
  <c r="BN83" i="1" s="1"/>
  <c r="CS81" i="1"/>
  <c r="CS83" i="1" s="1"/>
  <c r="BH81" i="1"/>
  <c r="BH83" i="1" s="1"/>
  <c r="CK81" i="1"/>
  <c r="CK83" i="1" s="1"/>
  <c r="CR81" i="1"/>
  <c r="CR83" i="1" s="1"/>
  <c r="DD81" i="1"/>
  <c r="DD83" i="1" s="1"/>
  <c r="CP81" i="1"/>
  <c r="CP83" i="1" s="1"/>
  <c r="DG81" i="1"/>
  <c r="DG83" i="1" s="1"/>
  <c r="CW81" i="1"/>
  <c r="CW83" i="1" s="1"/>
  <c r="DJ81" i="1"/>
  <c r="DJ83" i="1" s="1"/>
  <c r="CO81" i="1"/>
  <c r="CO83" i="1" s="1"/>
  <c r="CV81" i="1"/>
  <c r="CV83" i="1" s="1"/>
  <c r="BO81" i="1"/>
  <c r="BO83" i="1" s="1"/>
  <c r="CG81" i="1"/>
  <c r="CG83" i="1" s="1"/>
  <c r="CN81" i="1"/>
  <c r="CN83" i="1" s="1"/>
  <c r="CT81" i="1"/>
  <c r="CT83" i="1" s="1"/>
  <c r="CI81" i="1"/>
  <c r="CI83" i="1" s="1"/>
  <c r="DH81" i="1"/>
  <c r="DH83" i="1" s="1"/>
  <c r="BS81" i="1"/>
  <c r="BS83" i="1" s="1"/>
  <c r="DN81" i="1"/>
  <c r="DN83" i="1" s="1"/>
  <c r="CQ81" i="1"/>
  <c r="CQ83" i="1" s="1"/>
  <c r="CU81" i="1"/>
  <c r="CU83" i="1" s="1"/>
  <c r="DR81" i="1"/>
  <c r="DR83" i="1" s="1"/>
  <c r="DM81" i="1"/>
  <c r="DM83" i="1" s="1"/>
  <c r="DO81" i="1"/>
  <c r="DO83" i="1" s="1"/>
  <c r="CZ81" i="1"/>
  <c r="CZ83" i="1" s="1"/>
  <c r="BZ81" i="1"/>
  <c r="BZ83" i="1" s="1"/>
  <c r="BT81" i="1"/>
  <c r="BT83" i="1" s="1"/>
  <c r="DA81" i="1"/>
  <c r="DA83" i="1" s="1"/>
  <c r="CY81" i="1"/>
  <c r="CY83" i="1" s="1"/>
  <c r="DP81" i="1"/>
  <c r="DP83" i="1" s="1"/>
  <c r="DS81" i="1"/>
  <c r="DS83" i="1" s="1"/>
  <c r="DF81" i="1"/>
  <c r="DF83" i="1" s="1"/>
  <c r="CD81" i="1"/>
  <c r="CD83" i="1" s="1"/>
  <c r="DB81" i="1"/>
  <c r="DB83" i="1" s="1"/>
  <c r="DK81" i="1"/>
  <c r="DK83" i="1" s="1"/>
  <c r="DV81" i="1"/>
  <c r="DV83" i="1" s="1"/>
  <c r="DL81" i="1"/>
  <c r="DL83" i="1" s="1"/>
  <c r="DU81" i="1"/>
  <c r="DU83" i="1" s="1"/>
  <c r="DQ81" i="1"/>
  <c r="DQ83" i="1" s="1"/>
  <c r="DW81" i="1"/>
  <c r="DW83" i="1" s="1"/>
  <c r="DT81" i="1"/>
  <c r="DT83" i="1" s="1"/>
  <c r="BG81" i="1"/>
  <c r="BG83" i="1" s="1"/>
  <c r="BF81" i="1"/>
  <c r="BF83" i="1" s="1"/>
  <c r="AX10" i="1" l="1" a="1"/>
  <c r="AX10" i="1" l="1"/>
  <c r="AV10" i="1" s="1"/>
  <c r="AC11" i="1" s="1"/>
  <c r="AO18" i="1"/>
  <c r="EN36" i="1"/>
  <c r="EP36" i="1" s="1"/>
  <c r="EN59" i="1"/>
  <c r="EP59" i="1" s="1"/>
  <c r="EN12" i="1"/>
  <c r="EP12" i="1" s="1"/>
  <c r="EN68" i="1"/>
  <c r="EP68" i="1" s="1"/>
  <c r="EN16" i="1"/>
  <c r="EP16" i="1" s="1"/>
  <c r="EN64" i="1"/>
  <c r="EP64" i="1" s="1"/>
  <c r="EN67" i="1"/>
  <c r="EP67" i="1" s="1"/>
  <c r="EN20" i="1"/>
  <c r="EP20" i="1" s="1"/>
  <c r="EN47" i="1"/>
  <c r="EP47" i="1" s="1"/>
  <c r="EN21" i="1"/>
  <c r="EP21" i="1" s="1"/>
  <c r="EN32" i="1"/>
  <c r="EP32" i="1" s="1"/>
  <c r="EN38" i="1"/>
  <c r="EP38" i="1" s="1"/>
  <c r="EN61" i="1"/>
  <c r="EP61" i="1" s="1"/>
  <c r="EN80" i="1"/>
  <c r="EP80" i="1" s="1"/>
  <c r="EN78" i="1"/>
  <c r="EP78" i="1" s="1"/>
  <c r="EN40" i="1"/>
  <c r="EP40" i="1" s="1"/>
  <c r="EN72" i="1"/>
  <c r="EP72" i="1" s="1"/>
  <c r="EN63" i="1"/>
  <c r="EP63" i="1" s="1"/>
  <c r="EN76" i="1"/>
  <c r="EP76" i="1" s="1"/>
  <c r="EN73" i="1"/>
  <c r="EP73" i="1" s="1"/>
  <c r="EN58" i="1"/>
  <c r="EP58" i="1" s="1"/>
  <c r="EN77" i="1"/>
  <c r="EP77" i="1" s="1"/>
  <c r="EN17" i="1"/>
  <c r="EP17" i="1" s="1"/>
  <c r="EN71" i="1"/>
  <c r="EP71" i="1" s="1"/>
  <c r="EN24" i="1"/>
  <c r="EP24" i="1" s="1"/>
  <c r="EN28" i="1"/>
  <c r="EP28" i="1" s="1"/>
  <c r="EN79" i="1"/>
  <c r="EP79" i="1" s="1"/>
  <c r="EN13" i="1"/>
  <c r="EP13" i="1" s="1"/>
  <c r="EN69" i="1"/>
  <c r="EP69" i="1" s="1"/>
  <c r="EN26" i="1"/>
  <c r="EP26" i="1" s="1"/>
  <c r="EN66" i="1"/>
  <c r="EP66" i="1" s="1"/>
  <c r="EN74" i="1"/>
  <c r="EP74" i="1" s="1"/>
  <c r="EN14" i="1"/>
  <c r="EP14" i="1" s="1"/>
  <c r="EN33" i="1"/>
  <c r="EP33" i="1" s="1"/>
  <c r="EN15" i="1"/>
  <c r="EP15" i="1" s="1"/>
  <c r="EN52" i="1"/>
  <c r="EP52" i="1" s="1"/>
  <c r="EN60" i="1"/>
  <c r="EP60" i="1" s="1"/>
  <c r="EN57" i="1"/>
  <c r="EP57" i="1" s="1"/>
  <c r="EN22" i="1"/>
  <c r="EP22" i="1" s="1"/>
  <c r="EN11" i="1"/>
  <c r="EP11" i="1" s="1"/>
  <c r="EN49" i="1"/>
  <c r="EP49" i="1" s="1"/>
  <c r="EN31" i="1"/>
  <c r="EP31" i="1" s="1"/>
  <c r="EN44" i="1"/>
  <c r="EP44" i="1" s="1"/>
  <c r="EN37" i="1"/>
  <c r="EP37" i="1" s="1"/>
  <c r="EN53" i="1"/>
  <c r="EP53" i="1" s="1"/>
  <c r="EN29" i="1"/>
  <c r="EP29" i="1" s="1"/>
  <c r="EN45" i="1"/>
  <c r="EP45" i="1" s="1"/>
  <c r="EN42" i="1"/>
  <c r="EP42" i="1" s="1"/>
  <c r="EN50" i="1"/>
  <c r="EP50" i="1" s="1"/>
  <c r="EN70" i="1"/>
  <c r="EP70" i="1" s="1"/>
  <c r="EN19" i="1"/>
  <c r="EP19" i="1" s="1"/>
  <c r="EN39" i="1"/>
  <c r="EP39" i="1" s="1"/>
  <c r="EN27" i="1"/>
  <c r="EP27" i="1" s="1"/>
  <c r="EN46" i="1"/>
  <c r="EP46" i="1" s="1"/>
  <c r="EN65" i="1"/>
  <c r="EP65" i="1" s="1"/>
  <c r="EN75" i="1"/>
  <c r="EP75" i="1" s="1"/>
  <c r="EN56" i="1"/>
  <c r="EP56" i="1" s="1"/>
  <c r="EN25" i="1"/>
  <c r="EP25" i="1" s="1"/>
  <c r="EN41" i="1"/>
  <c r="EP41" i="1" s="1"/>
  <c r="EN48" i="1"/>
  <c r="EP48" i="1" s="1"/>
  <c r="EN18" i="1"/>
  <c r="EP18" i="1" s="1"/>
  <c r="EN34" i="1"/>
  <c r="EP34" i="1" s="1"/>
  <c r="EN54" i="1"/>
  <c r="EP54" i="1" s="1"/>
  <c r="EN23" i="1"/>
  <c r="EP23" i="1" s="1"/>
  <c r="EN30" i="1"/>
  <c r="EP30" i="1" s="1"/>
  <c r="EN35" i="1"/>
  <c r="EP35" i="1" s="1"/>
  <c r="EN51" i="1"/>
  <c r="EP51" i="1" s="1"/>
  <c r="EN55" i="1"/>
  <c r="EP55" i="1" s="1"/>
  <c r="EN43" i="1"/>
  <c r="EP43" i="1" s="1"/>
  <c r="EN62" i="1"/>
  <c r="EP62" i="1" s="1"/>
  <c r="AO22" i="1"/>
  <c r="AO73" i="1"/>
  <c r="AO67" i="1"/>
  <c r="AO52" i="1"/>
  <c r="AO59" i="1"/>
  <c r="AO62" i="1"/>
  <c r="AO57" i="1"/>
  <c r="AO36" i="1"/>
  <c r="AO50" i="1"/>
  <c r="AO69" i="1"/>
  <c r="AO32" i="1"/>
  <c r="AO51" i="1"/>
  <c r="AO54" i="1"/>
  <c r="AO49" i="1"/>
  <c r="AO28" i="1"/>
  <c r="AO37" i="1"/>
  <c r="AO68" i="1"/>
  <c r="AO56" i="1"/>
  <c r="AO14" i="1"/>
  <c r="AO60" i="1"/>
  <c r="AO48" i="1"/>
  <c r="AO61" i="1"/>
  <c r="AO64" i="1"/>
  <c r="AO11" i="1"/>
  <c r="AO15" i="1"/>
  <c r="AO29" i="1"/>
  <c r="AO75" i="1"/>
  <c r="AO66" i="1"/>
  <c r="AO21" i="1"/>
  <c r="AO58" i="1"/>
  <c r="AO13" i="1"/>
  <c r="AO42" i="1"/>
  <c r="AO12" i="1"/>
  <c r="AO34" i="1"/>
  <c r="AO53" i="1"/>
  <c r="AO16" i="1"/>
  <c r="AO27" i="1"/>
  <c r="AO38" i="1"/>
  <c r="AO33" i="1"/>
  <c r="AO39" i="1"/>
  <c r="AO78" i="1"/>
  <c r="AO65" i="1"/>
  <c r="AO77" i="1"/>
  <c r="AO40" i="1"/>
  <c r="AO24" i="1"/>
  <c r="AO35" i="1"/>
  <c r="AO46" i="1"/>
  <c r="AO41" i="1"/>
  <c r="AO47" i="1"/>
  <c r="AO26" i="1"/>
  <c r="AO45" i="1"/>
  <c r="AO72" i="1"/>
  <c r="AO19" i="1"/>
  <c r="AO30" i="1"/>
  <c r="AO25" i="1"/>
  <c r="AO76" i="1"/>
  <c r="AO31" i="1"/>
  <c r="AO44" i="1"/>
  <c r="AO79" i="1"/>
  <c r="AO71" i="1"/>
  <c r="AO80" i="1"/>
  <c r="AO63" i="1"/>
  <c r="AO23" i="1"/>
  <c r="AO43" i="1"/>
  <c r="AO70" i="1"/>
  <c r="AO17" i="1"/>
  <c r="AO20" i="1"/>
  <c r="AO55" i="1"/>
  <c r="AO74" i="1"/>
  <c r="AO10" i="1"/>
  <c r="AP10" i="1" s="1"/>
  <c r="EN10" i="1" l="1"/>
  <c r="EP10" i="1" s="1"/>
  <c r="EQ10" i="1" s="1"/>
  <c r="ER10" i="1" s="1"/>
  <c r="ES10" i="1" s="1"/>
  <c r="EF10" i="1"/>
  <c r="EH10" i="1" s="1"/>
  <c r="EI10" i="1" s="1"/>
  <c r="EJ10" i="1" s="1"/>
  <c r="AZ10" i="1"/>
  <c r="BA10" i="1"/>
  <c r="AP11" i="1"/>
  <c r="AZ11" i="1" s="1"/>
  <c r="DZ10" i="1"/>
  <c r="EQ77" i="1" l="1"/>
  <c r="ER77" i="1" s="1"/>
  <c r="ES77" i="1" s="1"/>
  <c r="EQ50" i="1"/>
  <c r="ER50" i="1" s="1"/>
  <c r="ES50" i="1" s="1"/>
  <c r="EQ30" i="1"/>
  <c r="ER30" i="1" s="1"/>
  <c r="ES30" i="1" s="1"/>
  <c r="EQ29" i="1"/>
  <c r="ER29" i="1" s="1"/>
  <c r="ES29" i="1" s="1"/>
  <c r="EQ51" i="1"/>
  <c r="ER51" i="1" s="1"/>
  <c r="ES51" i="1" s="1"/>
  <c r="EQ39" i="1"/>
  <c r="ER39" i="1" s="1"/>
  <c r="ES39" i="1" s="1"/>
  <c r="EQ20" i="1"/>
  <c r="ER20" i="1" s="1"/>
  <c r="ES20" i="1" s="1"/>
  <c r="EQ72" i="1"/>
  <c r="ER72" i="1" s="1"/>
  <c r="ES72" i="1" s="1"/>
  <c r="EQ67" i="1"/>
  <c r="ER67" i="1" s="1"/>
  <c r="ES67" i="1" s="1"/>
  <c r="EQ44" i="1"/>
  <c r="ER44" i="1" s="1"/>
  <c r="ES44" i="1" s="1"/>
  <c r="EQ47" i="1"/>
  <c r="ER47" i="1" s="1"/>
  <c r="ES47" i="1" s="1"/>
  <c r="EQ42" i="1"/>
  <c r="ER42" i="1" s="1"/>
  <c r="ES42" i="1" s="1"/>
  <c r="EQ27" i="1"/>
  <c r="ER27" i="1" s="1"/>
  <c r="ES27" i="1" s="1"/>
  <c r="EQ24" i="1"/>
  <c r="ER24" i="1" s="1"/>
  <c r="ES24" i="1" s="1"/>
  <c r="EQ13" i="1"/>
  <c r="ER13" i="1" s="1"/>
  <c r="ES13" i="1" s="1"/>
  <c r="EQ70" i="1"/>
  <c r="ER70" i="1" s="1"/>
  <c r="ES70" i="1" s="1"/>
  <c r="EQ61" i="1"/>
  <c r="ER61" i="1" s="1"/>
  <c r="ES61" i="1" s="1"/>
  <c r="EQ16" i="1"/>
  <c r="ER16" i="1" s="1"/>
  <c r="ES16" i="1" s="1"/>
  <c r="EQ73" i="1"/>
  <c r="ER73" i="1" s="1"/>
  <c r="ES73" i="1" s="1"/>
  <c r="EQ78" i="1"/>
  <c r="ER78" i="1" s="1"/>
  <c r="ES78" i="1" s="1"/>
  <c r="EQ32" i="1"/>
  <c r="ER32" i="1" s="1"/>
  <c r="ES32" i="1" s="1"/>
  <c r="EQ41" i="1"/>
  <c r="ER41" i="1" s="1"/>
  <c r="ES41" i="1" s="1"/>
  <c r="EQ69" i="1"/>
  <c r="ER69" i="1" s="1"/>
  <c r="ES69" i="1" s="1"/>
  <c r="EQ31" i="1"/>
  <c r="ER31" i="1" s="1"/>
  <c r="ES31" i="1" s="1"/>
  <c r="EQ52" i="1"/>
  <c r="ER52" i="1" s="1"/>
  <c r="ES52" i="1" s="1"/>
  <c r="EQ36" i="1"/>
  <c r="ER36" i="1" s="1"/>
  <c r="ES36" i="1" s="1"/>
  <c r="EQ28" i="1"/>
  <c r="ER28" i="1" s="1"/>
  <c r="ES28" i="1" s="1"/>
  <c r="EQ15" i="1"/>
  <c r="ER15" i="1" s="1"/>
  <c r="ES15" i="1" s="1"/>
  <c r="EQ76" i="1"/>
  <c r="ER76" i="1" s="1"/>
  <c r="ES76" i="1" s="1"/>
  <c r="EQ71" i="1"/>
  <c r="ER71" i="1" s="1"/>
  <c r="ES71" i="1" s="1"/>
  <c r="EQ75" i="1"/>
  <c r="ER75" i="1" s="1"/>
  <c r="ES75" i="1" s="1"/>
  <c r="EQ79" i="1"/>
  <c r="ER79" i="1" s="1"/>
  <c r="ES79" i="1" s="1"/>
  <c r="EQ14" i="1"/>
  <c r="ER14" i="1" s="1"/>
  <c r="ES14" i="1" s="1"/>
  <c r="EQ17" i="1"/>
  <c r="ER17" i="1" s="1"/>
  <c r="ES17" i="1" s="1"/>
  <c r="EQ60" i="1"/>
  <c r="ER60" i="1" s="1"/>
  <c r="ES60" i="1" s="1"/>
  <c r="EQ33" i="1"/>
  <c r="ER33" i="1" s="1"/>
  <c r="ES33" i="1" s="1"/>
  <c r="EQ68" i="1"/>
  <c r="ER68" i="1" s="1"/>
  <c r="ES68" i="1" s="1"/>
  <c r="EQ66" i="1"/>
  <c r="ER66" i="1" s="1"/>
  <c r="ES66" i="1" s="1"/>
  <c r="EQ11" i="1"/>
  <c r="ER11" i="1" s="1"/>
  <c r="ES11" i="1" s="1"/>
  <c r="EQ37" i="1"/>
  <c r="ER37" i="1" s="1"/>
  <c r="ES37" i="1" s="1"/>
  <c r="EQ57" i="1"/>
  <c r="ER57" i="1" s="1"/>
  <c r="ES57" i="1" s="1"/>
  <c r="EQ25" i="1"/>
  <c r="ER25" i="1" s="1"/>
  <c r="ES25" i="1" s="1"/>
  <c r="EQ48" i="1"/>
  <c r="ER48" i="1" s="1"/>
  <c r="ES48" i="1" s="1"/>
  <c r="EQ59" i="1"/>
  <c r="ER59" i="1" s="1"/>
  <c r="ES59" i="1" s="1"/>
  <c r="EQ22" i="1"/>
  <c r="ER22" i="1" s="1"/>
  <c r="ES22" i="1" s="1"/>
  <c r="EQ35" i="1"/>
  <c r="ER35" i="1" s="1"/>
  <c r="ES35" i="1" s="1"/>
  <c r="EQ49" i="1"/>
  <c r="ER49" i="1" s="1"/>
  <c r="ES49" i="1" s="1"/>
  <c r="EQ12" i="1"/>
  <c r="ER12" i="1" s="1"/>
  <c r="ES12" i="1" s="1"/>
  <c r="EQ62" i="1"/>
  <c r="ER62" i="1" s="1"/>
  <c r="ES62" i="1" s="1"/>
  <c r="EQ46" i="1"/>
  <c r="ER46" i="1" s="1"/>
  <c r="ES46" i="1" s="1"/>
  <c r="EQ63" i="1"/>
  <c r="ER63" i="1" s="1"/>
  <c r="ES63" i="1" s="1"/>
  <c r="EQ56" i="1"/>
  <c r="ER56" i="1" s="1"/>
  <c r="ES56" i="1" s="1"/>
  <c r="EQ53" i="1"/>
  <c r="ER53" i="1" s="1"/>
  <c r="ES53" i="1" s="1"/>
  <c r="EQ80" i="1"/>
  <c r="ER80" i="1" s="1"/>
  <c r="ES80" i="1" s="1"/>
  <c r="EQ64" i="1"/>
  <c r="ER64" i="1" s="1"/>
  <c r="ES64" i="1" s="1"/>
  <c r="EQ40" i="1"/>
  <c r="ER40" i="1" s="1"/>
  <c r="ES40" i="1" s="1"/>
  <c r="EQ58" i="1"/>
  <c r="ER58" i="1" s="1"/>
  <c r="ES58" i="1" s="1"/>
  <c r="EQ18" i="1"/>
  <c r="ER18" i="1" s="1"/>
  <c r="ES18" i="1" s="1"/>
  <c r="EQ55" i="1"/>
  <c r="ER55" i="1" s="1"/>
  <c r="ES55" i="1" s="1"/>
  <c r="EQ45" i="1"/>
  <c r="ER45" i="1" s="1"/>
  <c r="ES45" i="1" s="1"/>
  <c r="EQ34" i="1"/>
  <c r="ER34" i="1" s="1"/>
  <c r="ES34" i="1" s="1"/>
  <c r="EQ65" i="1"/>
  <c r="ER65" i="1" s="1"/>
  <c r="ES65" i="1" s="1"/>
  <c r="EQ21" i="1"/>
  <c r="ER21" i="1" s="1"/>
  <c r="ES21" i="1" s="1"/>
  <c r="EQ54" i="1"/>
  <c r="ER54" i="1" s="1"/>
  <c r="ES54" i="1" s="1"/>
  <c r="EQ19" i="1"/>
  <c r="ER19" i="1" s="1"/>
  <c r="ES19" i="1" s="1"/>
  <c r="EQ38" i="1"/>
  <c r="ER38" i="1" s="1"/>
  <c r="ES38" i="1" s="1"/>
  <c r="EQ26" i="1"/>
  <c r="ER26" i="1" s="1"/>
  <c r="ES26" i="1" s="1"/>
  <c r="EQ74" i="1"/>
  <c r="ER74" i="1" s="1"/>
  <c r="ES74" i="1" s="1"/>
  <c r="EQ23" i="1"/>
  <c r="ER23" i="1" s="1"/>
  <c r="ES23" i="1" s="1"/>
  <c r="EQ43" i="1"/>
  <c r="ER43" i="1" s="1"/>
  <c r="ES43" i="1" s="1"/>
  <c r="BB10" i="1"/>
  <c r="AQ10" i="1" s="1"/>
  <c r="BA11" i="1"/>
  <c r="BB11" i="1" s="1"/>
  <c r="AP12" i="1"/>
  <c r="BA12" i="1" s="1"/>
  <c r="AR10" i="1" l="1"/>
  <c r="AV11" i="1" s="1"/>
  <c r="AC12" i="1" s="1"/>
  <c r="AZ12" i="1"/>
  <c r="BB12" i="1" s="1"/>
  <c r="AP13" i="1"/>
  <c r="U11" i="1" l="1"/>
  <c r="W11" i="1" s="1"/>
  <c r="AQ11" i="1" s="1"/>
  <c r="AR11" i="1" s="1"/>
  <c r="AV12" i="1" s="1"/>
  <c r="DZ11" i="1"/>
  <c r="EF11" i="1"/>
  <c r="EH11" i="1" s="1"/>
  <c r="EI11" i="1" s="1"/>
  <c r="EJ11" i="1" s="1"/>
  <c r="AZ13" i="1"/>
  <c r="BA13" i="1"/>
  <c r="AP14" i="1"/>
  <c r="DZ12" i="1" l="1"/>
  <c r="AC13" i="1"/>
  <c r="EF12" i="1"/>
  <c r="EH12" i="1" s="1"/>
  <c r="EI12" i="1" s="1"/>
  <c r="EJ12" i="1" s="1"/>
  <c r="U12" i="1"/>
  <c r="W12" i="1" s="1"/>
  <c r="AQ12" i="1" s="1"/>
  <c r="AR12" i="1" s="1"/>
  <c r="AV13" i="1" s="1"/>
  <c r="BB13" i="1"/>
  <c r="AZ14" i="1"/>
  <c r="BA14" i="1"/>
  <c r="AP15" i="1"/>
  <c r="U13" i="1" l="1"/>
  <c r="W13" i="1" s="1"/>
  <c r="AQ13" i="1" s="1"/>
  <c r="AR13" i="1" s="1"/>
  <c r="AV14" i="1" s="1"/>
  <c r="AC14" i="1"/>
  <c r="DZ13" i="1"/>
  <c r="EF13" i="1"/>
  <c r="EH13" i="1" s="1"/>
  <c r="EI13" i="1" s="1"/>
  <c r="EJ13" i="1" s="1"/>
  <c r="AZ15" i="1"/>
  <c r="BA15" i="1"/>
  <c r="AP16" i="1"/>
  <c r="BB14" i="1"/>
  <c r="DZ14" i="1" l="1"/>
  <c r="AC15" i="1"/>
  <c r="U14" i="1"/>
  <c r="W14" i="1" s="1"/>
  <c r="AQ14" i="1" s="1"/>
  <c r="AR14" i="1" s="1"/>
  <c r="AV15" i="1" s="1"/>
  <c r="EF14" i="1"/>
  <c r="EH14" i="1" s="1"/>
  <c r="EI14" i="1" s="1"/>
  <c r="EJ14" i="1" s="1"/>
  <c r="BB15" i="1"/>
  <c r="AZ16" i="1"/>
  <c r="BA16" i="1"/>
  <c r="AP17" i="1"/>
  <c r="EF15" i="1" l="1"/>
  <c r="EH15" i="1" s="1"/>
  <c r="EI15" i="1" s="1"/>
  <c r="EJ15" i="1" s="1"/>
  <c r="AC16" i="1"/>
  <c r="U15" i="1"/>
  <c r="W15" i="1" s="1"/>
  <c r="AQ15" i="1" s="1"/>
  <c r="AR15" i="1" s="1"/>
  <c r="AV16" i="1" s="1"/>
  <c r="DZ15" i="1"/>
  <c r="BB16" i="1"/>
  <c r="AZ17" i="1"/>
  <c r="BA17" i="1"/>
  <c r="AP18" i="1"/>
  <c r="U16" i="1" l="1"/>
  <c r="W16" i="1" s="1"/>
  <c r="AQ16" i="1" s="1"/>
  <c r="AR16" i="1" s="1"/>
  <c r="AV17" i="1" s="1"/>
  <c r="AC17" i="1"/>
  <c r="EF16" i="1"/>
  <c r="EH16" i="1" s="1"/>
  <c r="EI16" i="1" s="1"/>
  <c r="EJ16" i="1" s="1"/>
  <c r="DZ16" i="1"/>
  <c r="BB17" i="1"/>
  <c r="AZ18" i="1"/>
  <c r="BA18" i="1"/>
  <c r="AP19" i="1"/>
  <c r="U17" i="1" l="1"/>
  <c r="W17" i="1" s="1"/>
  <c r="AQ17" i="1" s="1"/>
  <c r="AR17" i="1" s="1"/>
  <c r="AV18" i="1" s="1"/>
  <c r="AC18" i="1"/>
  <c r="DZ17" i="1"/>
  <c r="EF17" i="1"/>
  <c r="EH17" i="1" s="1"/>
  <c r="EI17" i="1" s="1"/>
  <c r="EJ17" i="1" s="1"/>
  <c r="BB18" i="1"/>
  <c r="AZ19" i="1"/>
  <c r="AP20" i="1"/>
  <c r="BA19" i="1"/>
  <c r="U18" i="1" l="1"/>
  <c r="W18" i="1" s="1"/>
  <c r="AQ18" i="1" s="1"/>
  <c r="AR18" i="1" s="1"/>
  <c r="AV19" i="1" s="1"/>
  <c r="AC19" i="1"/>
  <c r="DZ18" i="1"/>
  <c r="EF18" i="1"/>
  <c r="EH18" i="1" s="1"/>
  <c r="EI18" i="1" s="1"/>
  <c r="EJ18" i="1" s="1"/>
  <c r="BB19" i="1"/>
  <c r="AZ20" i="1"/>
  <c r="BA20" i="1"/>
  <c r="AP21" i="1"/>
  <c r="U19" i="1" l="1"/>
  <c r="W19" i="1" s="1"/>
  <c r="AQ19" i="1" s="1"/>
  <c r="AR19" i="1" s="1"/>
  <c r="AV20" i="1" s="1"/>
  <c r="AC20" i="1"/>
  <c r="DZ19" i="1"/>
  <c r="EF19" i="1"/>
  <c r="EH19" i="1" s="1"/>
  <c r="EI19" i="1" s="1"/>
  <c r="EJ19" i="1" s="1"/>
  <c r="BB20" i="1"/>
  <c r="AZ21" i="1"/>
  <c r="AP22" i="1"/>
  <c r="AP23" i="1" s="1"/>
  <c r="BA21" i="1"/>
  <c r="BA23" i="1" l="1"/>
  <c r="AP24" i="1"/>
  <c r="EF20" i="1"/>
  <c r="EH20" i="1" s="1"/>
  <c r="EI20" i="1" s="1"/>
  <c r="EJ20" i="1" s="1"/>
  <c r="AC21" i="1"/>
  <c r="DZ20" i="1"/>
  <c r="U20" i="1"/>
  <c r="W20" i="1" s="1"/>
  <c r="AQ20" i="1" s="1"/>
  <c r="AR20" i="1" s="1"/>
  <c r="AV21" i="1" s="1"/>
  <c r="BB21" i="1"/>
  <c r="AZ22" i="1"/>
  <c r="BA22" i="1"/>
  <c r="U21" i="1" l="1"/>
  <c r="W21" i="1" s="1"/>
  <c r="AQ21" i="1" s="1"/>
  <c r="AR21" i="1" s="1"/>
  <c r="AV22" i="1" s="1"/>
  <c r="AC22" i="1"/>
  <c r="U22" i="1" s="1"/>
  <c r="W22" i="1" s="1"/>
  <c r="EF21" i="1"/>
  <c r="EH21" i="1" s="1"/>
  <c r="EI21" i="1" s="1"/>
  <c r="EJ21" i="1" s="1"/>
  <c r="DZ21" i="1"/>
  <c r="BB22" i="1"/>
  <c r="AZ23" i="1"/>
  <c r="AC23" i="1" l="1"/>
  <c r="DZ22" i="1"/>
  <c r="EF22" i="1"/>
  <c r="EH22" i="1" s="1"/>
  <c r="EI22" i="1" s="1"/>
  <c r="EJ22" i="1" s="1"/>
  <c r="AQ22" i="1"/>
  <c r="AR22" i="1" s="1"/>
  <c r="AV23" i="1" s="1"/>
  <c r="BB23" i="1"/>
  <c r="AZ24" i="1"/>
  <c r="AP25" i="1"/>
  <c r="BA24" i="1"/>
  <c r="U23" i="1" l="1"/>
  <c r="W23" i="1" s="1"/>
  <c r="AQ23" i="1" s="1"/>
  <c r="AR23" i="1" s="1"/>
  <c r="AV24" i="1" s="1"/>
  <c r="AC24" i="1"/>
  <c r="DZ23" i="1"/>
  <c r="EF23" i="1"/>
  <c r="EH23" i="1" s="1"/>
  <c r="EI23" i="1" s="1"/>
  <c r="EJ23" i="1" s="1"/>
  <c r="BB24" i="1"/>
  <c r="AZ25" i="1"/>
  <c r="BA25" i="1"/>
  <c r="AP26" i="1"/>
  <c r="EF24" i="1" l="1"/>
  <c r="EH24" i="1" s="1"/>
  <c r="EI24" i="1" s="1"/>
  <c r="EJ24" i="1" s="1"/>
  <c r="AC25" i="1"/>
  <c r="U24" i="1"/>
  <c r="W24" i="1" s="1"/>
  <c r="AQ24" i="1" s="1"/>
  <c r="AR24" i="1" s="1"/>
  <c r="AV25" i="1" s="1"/>
  <c r="DZ24" i="1"/>
  <c r="BB25" i="1"/>
  <c r="AZ26" i="1"/>
  <c r="AP27" i="1"/>
  <c r="BA26" i="1"/>
  <c r="EF25" i="1" l="1"/>
  <c r="EH25" i="1" s="1"/>
  <c r="EI25" i="1" s="1"/>
  <c r="EJ25" i="1" s="1"/>
  <c r="AC26" i="1"/>
  <c r="U26" i="1" s="1"/>
  <c r="W26" i="1" s="1"/>
  <c r="DZ25" i="1"/>
  <c r="U25" i="1"/>
  <c r="W25" i="1" s="1"/>
  <c r="AQ25" i="1" s="1"/>
  <c r="AR25" i="1" s="1"/>
  <c r="AV26" i="1" s="1"/>
  <c r="BB26" i="1"/>
  <c r="AZ27" i="1"/>
  <c r="AP28" i="1"/>
  <c r="BA27" i="1"/>
  <c r="EF26" i="1" l="1"/>
  <c r="EH26" i="1" s="1"/>
  <c r="EI26" i="1" s="1"/>
  <c r="EJ26" i="1" s="1"/>
  <c r="AC27" i="1"/>
  <c r="U27" i="1" s="1"/>
  <c r="W27" i="1" s="1"/>
  <c r="DZ26" i="1"/>
  <c r="AQ26" i="1"/>
  <c r="AR26" i="1" s="1"/>
  <c r="AV27" i="1" s="1"/>
  <c r="AC28" i="1" s="1"/>
  <c r="BB27" i="1"/>
  <c r="AZ28" i="1"/>
  <c r="AP29" i="1"/>
  <c r="BA28" i="1"/>
  <c r="EF27" i="1" l="1"/>
  <c r="EH27" i="1" s="1"/>
  <c r="EI27" i="1" s="1"/>
  <c r="EJ27" i="1" s="1"/>
  <c r="DZ27" i="1"/>
  <c r="AQ27" i="1"/>
  <c r="AR27" i="1" s="1"/>
  <c r="AV28" i="1" s="1"/>
  <c r="AC29" i="1" s="1"/>
  <c r="BB28" i="1"/>
  <c r="AZ29" i="1"/>
  <c r="AP30" i="1"/>
  <c r="BA29" i="1"/>
  <c r="U28" i="1"/>
  <c r="W28" i="1" s="1"/>
  <c r="DZ28" i="1" l="1"/>
  <c r="EF28" i="1"/>
  <c r="EH28" i="1" s="1"/>
  <c r="EI28" i="1" s="1"/>
  <c r="EJ28" i="1" s="1"/>
  <c r="AQ28" i="1"/>
  <c r="AR28" i="1" s="1"/>
  <c r="AV29" i="1" s="1"/>
  <c r="AC30" i="1" s="1"/>
  <c r="BB29" i="1"/>
  <c r="AZ30" i="1"/>
  <c r="BA30" i="1"/>
  <c r="AP31" i="1"/>
  <c r="U29" i="1"/>
  <c r="W29" i="1" s="1"/>
  <c r="DZ29" i="1" l="1"/>
  <c r="EF29" i="1"/>
  <c r="EH29" i="1" s="1"/>
  <c r="EI29" i="1" s="1"/>
  <c r="EJ29" i="1" s="1"/>
  <c r="AQ29" i="1"/>
  <c r="AR29" i="1" s="1"/>
  <c r="AV30" i="1" s="1"/>
  <c r="BB30" i="1"/>
  <c r="AZ31" i="1"/>
  <c r="BA31" i="1"/>
  <c r="AP32" i="1"/>
  <c r="DZ30" i="1" l="1"/>
  <c r="AC31" i="1"/>
  <c r="U30" i="1"/>
  <c r="W30" i="1" s="1"/>
  <c r="AQ30" i="1" s="1"/>
  <c r="AR30" i="1" s="1"/>
  <c r="AV31" i="1" s="1"/>
  <c r="EF30" i="1"/>
  <c r="EH30" i="1" s="1"/>
  <c r="EI30" i="1" s="1"/>
  <c r="EJ30" i="1" s="1"/>
  <c r="BB31" i="1"/>
  <c r="AZ32" i="1"/>
  <c r="BA32" i="1"/>
  <c r="AP33" i="1"/>
  <c r="U31" i="1" l="1"/>
  <c r="W31" i="1" s="1"/>
  <c r="AQ31" i="1" s="1"/>
  <c r="AR31" i="1" s="1"/>
  <c r="AV32" i="1" s="1"/>
  <c r="AC32" i="1"/>
  <c r="EF31" i="1"/>
  <c r="EH31" i="1" s="1"/>
  <c r="EI31" i="1" s="1"/>
  <c r="EJ31" i="1" s="1"/>
  <c r="DZ31" i="1"/>
  <c r="BB32" i="1"/>
  <c r="AZ33" i="1"/>
  <c r="BA33" i="1"/>
  <c r="AP34" i="1"/>
  <c r="U32" i="1" l="1"/>
  <c r="W32" i="1" s="1"/>
  <c r="AQ32" i="1" s="1"/>
  <c r="AR32" i="1" s="1"/>
  <c r="AV33" i="1" s="1"/>
  <c r="AC33" i="1"/>
  <c r="DZ32" i="1"/>
  <c r="EF32" i="1"/>
  <c r="EH32" i="1" s="1"/>
  <c r="EI32" i="1" s="1"/>
  <c r="EJ32" i="1" s="1"/>
  <c r="BB33" i="1"/>
  <c r="AZ34" i="1"/>
  <c r="AP35" i="1"/>
  <c r="BA34" i="1"/>
  <c r="U33" i="1" l="1"/>
  <c r="W33" i="1" s="1"/>
  <c r="AQ33" i="1" s="1"/>
  <c r="AR33" i="1" s="1"/>
  <c r="AV34" i="1" s="1"/>
  <c r="AC34" i="1"/>
  <c r="DZ33" i="1"/>
  <c r="EF33" i="1"/>
  <c r="EH33" i="1" s="1"/>
  <c r="EI33" i="1" s="1"/>
  <c r="EJ33" i="1" s="1"/>
  <c r="BB34" i="1"/>
  <c r="AZ35" i="1"/>
  <c r="BA35" i="1"/>
  <c r="AP36" i="1"/>
  <c r="U34" i="1" l="1"/>
  <c r="W34" i="1" s="1"/>
  <c r="AQ34" i="1" s="1"/>
  <c r="AR34" i="1" s="1"/>
  <c r="AV35" i="1" s="1"/>
  <c r="AC36" i="1" s="1"/>
  <c r="AC35" i="1"/>
  <c r="U35" i="1" s="1"/>
  <c r="W35" i="1" s="1"/>
  <c r="DZ34" i="1"/>
  <c r="EF34" i="1"/>
  <c r="EH34" i="1" s="1"/>
  <c r="EI34" i="1" s="1"/>
  <c r="EJ34" i="1" s="1"/>
  <c r="BB35" i="1"/>
  <c r="AZ36" i="1"/>
  <c r="BA36" i="1"/>
  <c r="AP37" i="1"/>
  <c r="EF35" i="1" l="1"/>
  <c r="EH35" i="1" s="1"/>
  <c r="EI35" i="1" s="1"/>
  <c r="EJ35" i="1" s="1"/>
  <c r="DZ35" i="1"/>
  <c r="AQ35" i="1"/>
  <c r="AR35" i="1" s="1"/>
  <c r="AV36" i="1" s="1"/>
  <c r="AC37" i="1" s="1"/>
  <c r="BB36" i="1"/>
  <c r="AZ37" i="1"/>
  <c r="BA37" i="1"/>
  <c r="AP38" i="1"/>
  <c r="U36" i="1"/>
  <c r="W36" i="1" s="1"/>
  <c r="DZ36" i="1" l="1"/>
  <c r="EF36" i="1"/>
  <c r="EH36" i="1" s="1"/>
  <c r="EI36" i="1" s="1"/>
  <c r="EJ36" i="1" s="1"/>
  <c r="AQ36" i="1"/>
  <c r="AR36" i="1" s="1"/>
  <c r="AV37" i="1" s="1"/>
  <c r="AC38" i="1" s="1"/>
  <c r="BB37" i="1"/>
  <c r="AZ38" i="1"/>
  <c r="BA38" i="1"/>
  <c r="AP39" i="1"/>
  <c r="U37" i="1"/>
  <c r="W37" i="1" s="1"/>
  <c r="DZ37" i="1" l="1"/>
  <c r="EF37" i="1"/>
  <c r="EH37" i="1" s="1"/>
  <c r="EI37" i="1" s="1"/>
  <c r="EJ37" i="1" s="1"/>
  <c r="AQ37" i="1"/>
  <c r="AR37" i="1" s="1"/>
  <c r="AV38" i="1" s="1"/>
  <c r="AC39" i="1" s="1"/>
  <c r="BB38" i="1"/>
  <c r="AZ39" i="1"/>
  <c r="BA39" i="1"/>
  <c r="AP40" i="1"/>
  <c r="U38" i="1"/>
  <c r="W38" i="1" s="1"/>
  <c r="EF38" i="1" l="1"/>
  <c r="EH38" i="1" s="1"/>
  <c r="EI38" i="1" s="1"/>
  <c r="EJ38" i="1" s="1"/>
  <c r="DZ38" i="1"/>
  <c r="AQ38" i="1"/>
  <c r="AR38" i="1" s="1"/>
  <c r="AV39" i="1" s="1"/>
  <c r="BB39" i="1"/>
  <c r="AZ40" i="1"/>
  <c r="AP41" i="1"/>
  <c r="BA40" i="1"/>
  <c r="DZ39" i="1" l="1"/>
  <c r="AC40" i="1"/>
  <c r="U39" i="1"/>
  <c r="W39" i="1" s="1"/>
  <c r="AQ39" i="1" s="1"/>
  <c r="AR39" i="1" s="1"/>
  <c r="AV40" i="1" s="1"/>
  <c r="EF39" i="1"/>
  <c r="EH39" i="1" s="1"/>
  <c r="EI39" i="1" s="1"/>
  <c r="EJ39" i="1" s="1"/>
  <c r="BB40" i="1"/>
  <c r="AZ41" i="1"/>
  <c r="BA41" i="1"/>
  <c r="AP42" i="1"/>
  <c r="DZ40" i="1" l="1"/>
  <c r="AC41" i="1"/>
  <c r="U40" i="1"/>
  <c r="W40" i="1" s="1"/>
  <c r="AQ40" i="1" s="1"/>
  <c r="AR40" i="1" s="1"/>
  <c r="AV41" i="1" s="1"/>
  <c r="EF40" i="1"/>
  <c r="EH40" i="1" s="1"/>
  <c r="EI40" i="1" s="1"/>
  <c r="EJ40" i="1" s="1"/>
  <c r="BB41" i="1"/>
  <c r="AZ42" i="1"/>
  <c r="AP43" i="1"/>
  <c r="BA42" i="1"/>
  <c r="DZ41" i="1" l="1"/>
  <c r="AC42" i="1"/>
  <c r="EF41" i="1"/>
  <c r="EH41" i="1" s="1"/>
  <c r="EI41" i="1" s="1"/>
  <c r="EJ41" i="1" s="1"/>
  <c r="U41" i="1"/>
  <c r="W41" i="1" s="1"/>
  <c r="AQ41" i="1" s="1"/>
  <c r="AR41" i="1" s="1"/>
  <c r="AV42" i="1" s="1"/>
  <c r="AC43" i="1" s="1"/>
  <c r="BB42" i="1"/>
  <c r="AZ43" i="1"/>
  <c r="BA43" i="1"/>
  <c r="AP44" i="1"/>
  <c r="DZ42" i="1" l="1"/>
  <c r="EF42" i="1"/>
  <c r="EH42" i="1" s="1"/>
  <c r="EI42" i="1" s="1"/>
  <c r="EJ42" i="1" s="1"/>
  <c r="U42" i="1"/>
  <c r="W42" i="1" s="1"/>
  <c r="AQ42" i="1" s="1"/>
  <c r="AR42" i="1" s="1"/>
  <c r="AV43" i="1" s="1"/>
  <c r="AC44" i="1" s="1"/>
  <c r="BB43" i="1"/>
  <c r="AZ44" i="1"/>
  <c r="BA44" i="1"/>
  <c r="AP45" i="1"/>
  <c r="U43" i="1" l="1"/>
  <c r="W43" i="1" s="1"/>
  <c r="AQ43" i="1" s="1"/>
  <c r="AR43" i="1" s="1"/>
  <c r="AV44" i="1" s="1"/>
  <c r="DZ43" i="1"/>
  <c r="EF43" i="1"/>
  <c r="EH43" i="1" s="1"/>
  <c r="EI43" i="1" s="1"/>
  <c r="EJ43" i="1" s="1"/>
  <c r="BB44" i="1"/>
  <c r="AZ45" i="1"/>
  <c r="BA45" i="1"/>
  <c r="AP46" i="1"/>
  <c r="DZ44" i="1" l="1"/>
  <c r="AC45" i="1"/>
  <c r="EF44" i="1"/>
  <c r="EH44" i="1" s="1"/>
  <c r="EI44" i="1" s="1"/>
  <c r="EJ44" i="1" s="1"/>
  <c r="U44" i="1"/>
  <c r="W44" i="1" s="1"/>
  <c r="AQ44" i="1" s="1"/>
  <c r="AR44" i="1" s="1"/>
  <c r="AV45" i="1" s="1"/>
  <c r="AC46" i="1" s="1"/>
  <c r="BB45" i="1"/>
  <c r="AZ46" i="1"/>
  <c r="BA46" i="1"/>
  <c r="AP47" i="1"/>
  <c r="U45" i="1" l="1"/>
  <c r="W45" i="1" s="1"/>
  <c r="AQ45" i="1" s="1"/>
  <c r="AR45" i="1" s="1"/>
  <c r="AV46" i="1" s="1"/>
  <c r="EF45" i="1"/>
  <c r="EH45" i="1" s="1"/>
  <c r="EI45" i="1" s="1"/>
  <c r="EJ45" i="1" s="1"/>
  <c r="DZ45" i="1"/>
  <c r="BB46" i="1"/>
  <c r="AZ47" i="1"/>
  <c r="BA47" i="1"/>
  <c r="AP48" i="1"/>
  <c r="DZ46" i="1" l="1"/>
  <c r="AC47" i="1"/>
  <c r="EF46" i="1"/>
  <c r="EH46" i="1" s="1"/>
  <c r="EI46" i="1" s="1"/>
  <c r="EJ46" i="1" s="1"/>
  <c r="U46" i="1"/>
  <c r="W46" i="1" s="1"/>
  <c r="AQ46" i="1" s="1"/>
  <c r="AR46" i="1" s="1"/>
  <c r="AV47" i="1" s="1"/>
  <c r="AC48" i="1" s="1"/>
  <c r="BB47" i="1"/>
  <c r="AZ48" i="1"/>
  <c r="BA48" i="1"/>
  <c r="AP49" i="1"/>
  <c r="U47" i="1" l="1"/>
  <c r="W47" i="1" s="1"/>
  <c r="AQ47" i="1" s="1"/>
  <c r="AR47" i="1" s="1"/>
  <c r="AV48" i="1" s="1"/>
  <c r="EF47" i="1"/>
  <c r="EH47" i="1" s="1"/>
  <c r="EI47" i="1" s="1"/>
  <c r="EJ47" i="1" s="1"/>
  <c r="DZ47" i="1"/>
  <c r="BB48" i="1"/>
  <c r="AZ49" i="1"/>
  <c r="BA49" i="1"/>
  <c r="AP50" i="1"/>
  <c r="DZ48" i="1" l="1"/>
  <c r="AC49" i="1"/>
  <c r="EF48" i="1"/>
  <c r="EH48" i="1" s="1"/>
  <c r="EI48" i="1" s="1"/>
  <c r="EJ48" i="1" s="1"/>
  <c r="U48" i="1"/>
  <c r="W48" i="1" s="1"/>
  <c r="AQ48" i="1" s="1"/>
  <c r="AR48" i="1" s="1"/>
  <c r="AV49" i="1" s="1"/>
  <c r="AC50" i="1" s="1"/>
  <c r="BB49" i="1"/>
  <c r="AZ50" i="1"/>
  <c r="BA50" i="1"/>
  <c r="AP51" i="1"/>
  <c r="EF49" i="1" l="1"/>
  <c r="EH49" i="1" s="1"/>
  <c r="EI49" i="1" s="1"/>
  <c r="EJ49" i="1" s="1"/>
  <c r="DZ49" i="1"/>
  <c r="U49" i="1"/>
  <c r="W49" i="1" s="1"/>
  <c r="AQ49" i="1" s="1"/>
  <c r="AR49" i="1" s="1"/>
  <c r="AV50" i="1" s="1"/>
  <c r="AC51" i="1" s="1"/>
  <c r="BB50" i="1"/>
  <c r="AZ51" i="1"/>
  <c r="AP52" i="1"/>
  <c r="BA51" i="1"/>
  <c r="DZ50" i="1" l="1"/>
  <c r="U50" i="1"/>
  <c r="W50" i="1" s="1"/>
  <c r="AQ50" i="1" s="1"/>
  <c r="AR50" i="1" s="1"/>
  <c r="AV51" i="1" s="1"/>
  <c r="AC52" i="1" s="1"/>
  <c r="EF50" i="1"/>
  <c r="EH50" i="1" s="1"/>
  <c r="EI50" i="1" s="1"/>
  <c r="EJ50" i="1" s="1"/>
  <c r="BB51" i="1"/>
  <c r="AZ52" i="1"/>
  <c r="BA52" i="1"/>
  <c r="AP53" i="1"/>
  <c r="DZ51" i="1" l="1"/>
  <c r="U51" i="1"/>
  <c r="W51" i="1" s="1"/>
  <c r="AQ51" i="1" s="1"/>
  <c r="AR51" i="1" s="1"/>
  <c r="AV52" i="1" s="1"/>
  <c r="EF51" i="1"/>
  <c r="EH51" i="1" s="1"/>
  <c r="EI51" i="1" s="1"/>
  <c r="EJ51" i="1" s="1"/>
  <c r="BB52" i="1"/>
  <c r="AZ53" i="1"/>
  <c r="BA53" i="1"/>
  <c r="AP54" i="1"/>
  <c r="U52" i="1" l="1"/>
  <c r="W52" i="1" s="1"/>
  <c r="AQ52" i="1" s="1"/>
  <c r="AR52" i="1" s="1"/>
  <c r="AV53" i="1" s="1"/>
  <c r="AC53" i="1"/>
  <c r="U53" i="1" s="1"/>
  <c r="W53" i="1" s="1"/>
  <c r="DZ52" i="1"/>
  <c r="EF52" i="1"/>
  <c r="EH52" i="1" s="1"/>
  <c r="EI52" i="1" s="1"/>
  <c r="EJ52" i="1" s="1"/>
  <c r="BB53" i="1"/>
  <c r="AZ54" i="1"/>
  <c r="BA54" i="1"/>
  <c r="AP55" i="1"/>
  <c r="AC54" i="1" l="1"/>
  <c r="EF53" i="1"/>
  <c r="EH53" i="1" s="1"/>
  <c r="EI53" i="1" s="1"/>
  <c r="EJ53" i="1" s="1"/>
  <c r="DZ53" i="1"/>
  <c r="AQ53" i="1"/>
  <c r="AR53" i="1" s="1"/>
  <c r="AV54" i="1" s="1"/>
  <c r="BB54" i="1"/>
  <c r="AZ55" i="1"/>
  <c r="BA55" i="1"/>
  <c r="AP56" i="1"/>
  <c r="DZ54" i="1" l="1"/>
  <c r="AC55" i="1"/>
  <c r="U54" i="1"/>
  <c r="W54" i="1" s="1"/>
  <c r="AQ54" i="1" s="1"/>
  <c r="AR54" i="1" s="1"/>
  <c r="AV55" i="1" s="1"/>
  <c r="EF54" i="1"/>
  <c r="EH54" i="1" s="1"/>
  <c r="EI54" i="1" s="1"/>
  <c r="EJ54" i="1" s="1"/>
  <c r="BB55" i="1"/>
  <c r="AZ56" i="1"/>
  <c r="AP57" i="1"/>
  <c r="BA56" i="1"/>
  <c r="DZ55" i="1" l="1"/>
  <c r="AC56" i="1"/>
  <c r="U55" i="1"/>
  <c r="W55" i="1" s="1"/>
  <c r="AQ55" i="1" s="1"/>
  <c r="AR55" i="1" s="1"/>
  <c r="AV56" i="1" s="1"/>
  <c r="EF55" i="1"/>
  <c r="EH55" i="1" s="1"/>
  <c r="EI55" i="1" s="1"/>
  <c r="EJ55" i="1" s="1"/>
  <c r="BB56" i="1"/>
  <c r="AZ57" i="1"/>
  <c r="BA57" i="1"/>
  <c r="AP58" i="1"/>
  <c r="U56" i="1" l="1"/>
  <c r="W56" i="1" s="1"/>
  <c r="AQ56" i="1" s="1"/>
  <c r="AR56" i="1" s="1"/>
  <c r="AV57" i="1" s="1"/>
  <c r="AC57" i="1"/>
  <c r="EF56" i="1"/>
  <c r="EH56" i="1" s="1"/>
  <c r="EI56" i="1" s="1"/>
  <c r="EJ56" i="1" s="1"/>
  <c r="DZ56" i="1"/>
  <c r="BB57" i="1"/>
  <c r="AZ58" i="1"/>
  <c r="BA58" i="1"/>
  <c r="AP59" i="1"/>
  <c r="DZ57" i="1" l="1"/>
  <c r="AC58" i="1"/>
  <c r="EF57" i="1"/>
  <c r="EH57" i="1" s="1"/>
  <c r="EI57" i="1" s="1"/>
  <c r="EJ57" i="1" s="1"/>
  <c r="U57" i="1"/>
  <c r="W57" i="1" s="1"/>
  <c r="AQ57" i="1" s="1"/>
  <c r="AR57" i="1" s="1"/>
  <c r="AV58" i="1" s="1"/>
  <c r="BB58" i="1"/>
  <c r="AZ59" i="1"/>
  <c r="BA59" i="1"/>
  <c r="AP60" i="1"/>
  <c r="EF58" i="1" l="1"/>
  <c r="EH58" i="1" s="1"/>
  <c r="EI58" i="1" s="1"/>
  <c r="EJ58" i="1" s="1"/>
  <c r="AC59" i="1"/>
  <c r="DZ58" i="1"/>
  <c r="U58" i="1"/>
  <c r="W58" i="1" s="1"/>
  <c r="AQ58" i="1" s="1"/>
  <c r="AR58" i="1" s="1"/>
  <c r="AV59" i="1" s="1"/>
  <c r="AC60" i="1" s="1"/>
  <c r="BB59" i="1"/>
  <c r="AZ60" i="1"/>
  <c r="AP61" i="1"/>
  <c r="BA60" i="1"/>
  <c r="DZ59" i="1" l="1"/>
  <c r="EF59" i="1"/>
  <c r="EH59" i="1" s="1"/>
  <c r="EI59" i="1" s="1"/>
  <c r="EJ59" i="1" s="1"/>
  <c r="U59" i="1"/>
  <c r="W59" i="1" s="1"/>
  <c r="AQ59" i="1" s="1"/>
  <c r="AR59" i="1" s="1"/>
  <c r="AV60" i="1" s="1"/>
  <c r="AC61" i="1" s="1"/>
  <c r="BB60" i="1"/>
  <c r="AZ61" i="1"/>
  <c r="BA61" i="1"/>
  <c r="AP62" i="1"/>
  <c r="U60" i="1" l="1"/>
  <c r="W60" i="1" s="1"/>
  <c r="AQ60" i="1" s="1"/>
  <c r="AR60" i="1" s="1"/>
  <c r="AV61" i="1" s="1"/>
  <c r="DZ60" i="1"/>
  <c r="EF60" i="1"/>
  <c r="EH60" i="1" s="1"/>
  <c r="EI60" i="1" s="1"/>
  <c r="EJ60" i="1" s="1"/>
  <c r="BB61" i="1"/>
  <c r="AZ62" i="1"/>
  <c r="AP63" i="1"/>
  <c r="BA62" i="1"/>
  <c r="DZ61" i="1" l="1"/>
  <c r="AC62" i="1"/>
  <c r="EF61" i="1"/>
  <c r="EH61" i="1" s="1"/>
  <c r="EI61" i="1" s="1"/>
  <c r="EJ61" i="1" s="1"/>
  <c r="U61" i="1"/>
  <c r="W61" i="1" s="1"/>
  <c r="AQ61" i="1" s="1"/>
  <c r="AR61" i="1" s="1"/>
  <c r="AV62" i="1" s="1"/>
  <c r="AC63" i="1" s="1"/>
  <c r="BB62" i="1"/>
  <c r="AZ63" i="1"/>
  <c r="BA63" i="1"/>
  <c r="AP64" i="1"/>
  <c r="DZ62" i="1" l="1"/>
  <c r="U62" i="1"/>
  <c r="W62" i="1" s="1"/>
  <c r="AQ62" i="1" s="1"/>
  <c r="AR62" i="1" s="1"/>
  <c r="AV63" i="1" s="1"/>
  <c r="EF62" i="1"/>
  <c r="EH62" i="1" s="1"/>
  <c r="EI62" i="1" s="1"/>
  <c r="EJ62" i="1" s="1"/>
  <c r="BB63" i="1"/>
  <c r="AZ64" i="1"/>
  <c r="AP65" i="1"/>
  <c r="BA64" i="1"/>
  <c r="DZ63" i="1" l="1"/>
  <c r="AC64" i="1"/>
  <c r="EF63" i="1"/>
  <c r="EH63" i="1" s="1"/>
  <c r="EI63" i="1" s="1"/>
  <c r="EJ63" i="1" s="1"/>
  <c r="U63" i="1"/>
  <c r="W63" i="1" s="1"/>
  <c r="AQ63" i="1" s="1"/>
  <c r="AR63" i="1" s="1"/>
  <c r="AV64" i="1" s="1"/>
  <c r="AC65" i="1" s="1"/>
  <c r="BB64" i="1"/>
  <c r="AZ65" i="1"/>
  <c r="BA65" i="1"/>
  <c r="AP66" i="1"/>
  <c r="EF64" i="1" l="1"/>
  <c r="EH64" i="1" s="1"/>
  <c r="EI64" i="1" s="1"/>
  <c r="EJ64" i="1" s="1"/>
  <c r="DZ64" i="1"/>
  <c r="U64" i="1"/>
  <c r="W64" i="1" s="1"/>
  <c r="AQ64" i="1" s="1"/>
  <c r="AR64" i="1" s="1"/>
  <c r="AV65" i="1" s="1"/>
  <c r="BB65" i="1"/>
  <c r="AZ66" i="1"/>
  <c r="BA66" i="1"/>
  <c r="AP67" i="1"/>
  <c r="U65" i="1" l="1"/>
  <c r="W65" i="1" s="1"/>
  <c r="AQ65" i="1" s="1"/>
  <c r="AR65" i="1" s="1"/>
  <c r="AV66" i="1" s="1"/>
  <c r="AC66" i="1"/>
  <c r="U66" i="1" s="1"/>
  <c r="W66" i="1" s="1"/>
  <c r="EF65" i="1"/>
  <c r="EH65" i="1" s="1"/>
  <c r="EI65" i="1" s="1"/>
  <c r="EJ65" i="1" s="1"/>
  <c r="DZ65" i="1"/>
  <c r="BB66" i="1"/>
  <c r="AZ67" i="1"/>
  <c r="BA67" i="1"/>
  <c r="AP68" i="1"/>
  <c r="AC67" i="1" l="1"/>
  <c r="U67" i="1" s="1"/>
  <c r="W67" i="1" s="1"/>
  <c r="EF66" i="1"/>
  <c r="EH66" i="1" s="1"/>
  <c r="EI66" i="1" s="1"/>
  <c r="EJ66" i="1" s="1"/>
  <c r="DZ66" i="1"/>
  <c r="AQ66" i="1"/>
  <c r="AR66" i="1" s="1"/>
  <c r="AV67" i="1" s="1"/>
  <c r="AC68" i="1" s="1"/>
  <c r="BB67" i="1"/>
  <c r="AZ68" i="1"/>
  <c r="BA68" i="1"/>
  <c r="AP69" i="1"/>
  <c r="DZ67" i="1" l="1"/>
  <c r="EF67" i="1"/>
  <c r="EH67" i="1" s="1"/>
  <c r="EI67" i="1" s="1"/>
  <c r="EJ67" i="1" s="1"/>
  <c r="AQ67" i="1"/>
  <c r="AR67" i="1" s="1"/>
  <c r="AV68" i="1" s="1"/>
  <c r="BB68" i="1"/>
  <c r="AZ69" i="1"/>
  <c r="BA69" i="1"/>
  <c r="AP70" i="1"/>
  <c r="U68" i="1"/>
  <c r="W68" i="1" s="1"/>
  <c r="DZ68" i="1" l="1"/>
  <c r="AC69" i="1"/>
  <c r="EF68" i="1"/>
  <c r="EH68" i="1" s="1"/>
  <c r="EI68" i="1" s="1"/>
  <c r="EJ68" i="1" s="1"/>
  <c r="AQ68" i="1"/>
  <c r="AR68" i="1" s="1"/>
  <c r="AV69" i="1" s="1"/>
  <c r="BB69" i="1"/>
  <c r="AZ70" i="1"/>
  <c r="BA70" i="1"/>
  <c r="AP71" i="1"/>
  <c r="DZ69" i="1" l="1"/>
  <c r="AC70" i="1"/>
  <c r="U69" i="1"/>
  <c r="W69" i="1" s="1"/>
  <c r="AQ69" i="1" s="1"/>
  <c r="AR69" i="1" s="1"/>
  <c r="AV70" i="1" s="1"/>
  <c r="EF69" i="1"/>
  <c r="EH69" i="1" s="1"/>
  <c r="EI69" i="1" s="1"/>
  <c r="EJ69" i="1" s="1"/>
  <c r="BB70" i="1"/>
  <c r="AZ71" i="1"/>
  <c r="AP72" i="1"/>
  <c r="BA71" i="1"/>
  <c r="DZ70" i="1" l="1"/>
  <c r="AC71" i="1"/>
  <c r="U70" i="1"/>
  <c r="W70" i="1" s="1"/>
  <c r="AQ70" i="1" s="1"/>
  <c r="AR70" i="1" s="1"/>
  <c r="AV71" i="1" s="1"/>
  <c r="EF70" i="1"/>
  <c r="EH70" i="1" s="1"/>
  <c r="EI70" i="1" s="1"/>
  <c r="EJ70" i="1" s="1"/>
  <c r="BB71" i="1"/>
  <c r="AZ72" i="1"/>
  <c r="BA72" i="1"/>
  <c r="AP73" i="1"/>
  <c r="DZ71" i="1" l="1"/>
  <c r="AC72" i="1"/>
  <c r="U71" i="1"/>
  <c r="W71" i="1" s="1"/>
  <c r="EF71" i="1"/>
  <c r="EH71" i="1" s="1"/>
  <c r="EI71" i="1" s="1"/>
  <c r="EJ71" i="1" s="1"/>
  <c r="AQ71" i="1"/>
  <c r="AR71" i="1" s="1"/>
  <c r="AV72" i="1" s="1"/>
  <c r="BB72" i="1"/>
  <c r="AZ73" i="1"/>
  <c r="AP74" i="1"/>
  <c r="BA73" i="1"/>
  <c r="U72" i="1" l="1"/>
  <c r="W72" i="1" s="1"/>
  <c r="AQ72" i="1" s="1"/>
  <c r="AR72" i="1" s="1"/>
  <c r="AV73" i="1" s="1"/>
  <c r="AC73" i="1"/>
  <c r="EF72" i="1"/>
  <c r="EH72" i="1" s="1"/>
  <c r="EI72" i="1" s="1"/>
  <c r="EJ72" i="1" s="1"/>
  <c r="DZ72" i="1"/>
  <c r="BB73" i="1"/>
  <c r="AZ74" i="1"/>
  <c r="BA74" i="1"/>
  <c r="AP75" i="1"/>
  <c r="EF73" i="1" l="1"/>
  <c r="EH73" i="1" s="1"/>
  <c r="EI73" i="1" s="1"/>
  <c r="EJ73" i="1" s="1"/>
  <c r="AC74" i="1"/>
  <c r="U74" i="1" s="1"/>
  <c r="W74" i="1" s="1"/>
  <c r="U73" i="1"/>
  <c r="W73" i="1" s="1"/>
  <c r="AQ73" i="1" s="1"/>
  <c r="AR73" i="1" s="1"/>
  <c r="AV74" i="1" s="1"/>
  <c r="DZ73" i="1"/>
  <c r="BB74" i="1"/>
  <c r="AZ75" i="1"/>
  <c r="BA75" i="1"/>
  <c r="AP76" i="1"/>
  <c r="DZ74" i="1" l="1"/>
  <c r="AC75" i="1"/>
  <c r="EF74" i="1"/>
  <c r="EH74" i="1" s="1"/>
  <c r="EI74" i="1" s="1"/>
  <c r="EJ74" i="1" s="1"/>
  <c r="AQ74" i="1"/>
  <c r="AR74" i="1" s="1"/>
  <c r="AV75" i="1" s="1"/>
  <c r="BB75" i="1"/>
  <c r="AZ76" i="1"/>
  <c r="BA76" i="1"/>
  <c r="AP77" i="1"/>
  <c r="EF75" i="1" l="1"/>
  <c r="EH75" i="1" s="1"/>
  <c r="EI75" i="1" s="1"/>
  <c r="EJ75" i="1" s="1"/>
  <c r="AC76" i="1"/>
  <c r="DZ75" i="1"/>
  <c r="U75" i="1"/>
  <c r="W75" i="1" s="1"/>
  <c r="AQ75" i="1" s="1"/>
  <c r="AR75" i="1" s="1"/>
  <c r="AV76" i="1" s="1"/>
  <c r="BB76" i="1"/>
  <c r="AZ77" i="1"/>
  <c r="AP78" i="1"/>
  <c r="BA77" i="1"/>
  <c r="DZ76" i="1" l="1"/>
  <c r="AC77" i="1"/>
  <c r="U76" i="1"/>
  <c r="W76" i="1" s="1"/>
  <c r="AQ76" i="1" s="1"/>
  <c r="AR76" i="1" s="1"/>
  <c r="AV77" i="1" s="1"/>
  <c r="EF76" i="1"/>
  <c r="EH76" i="1" s="1"/>
  <c r="EI76" i="1" s="1"/>
  <c r="EJ76" i="1" s="1"/>
  <c r="BB77" i="1"/>
  <c r="AZ78" i="1"/>
  <c r="AP79" i="1"/>
  <c r="BA78" i="1"/>
  <c r="U77" i="1" l="1"/>
  <c r="W77" i="1" s="1"/>
  <c r="AQ77" i="1" s="1"/>
  <c r="AR77" i="1" s="1"/>
  <c r="AV78" i="1" s="1"/>
  <c r="AC78" i="1"/>
  <c r="DZ77" i="1"/>
  <c r="EF77" i="1"/>
  <c r="EH77" i="1" s="1"/>
  <c r="EI77" i="1" s="1"/>
  <c r="EJ77" i="1" s="1"/>
  <c r="BB78" i="1"/>
  <c r="AZ79" i="1"/>
  <c r="BA79" i="1"/>
  <c r="AP80" i="1"/>
  <c r="DZ78" i="1" l="1"/>
  <c r="AC79" i="1"/>
  <c r="U79" i="1" s="1"/>
  <c r="W79" i="1" s="1"/>
  <c r="EF78" i="1"/>
  <c r="EH78" i="1" s="1"/>
  <c r="EI78" i="1" s="1"/>
  <c r="EJ78" i="1" s="1"/>
  <c r="U78" i="1"/>
  <c r="W78" i="1" s="1"/>
  <c r="AQ78" i="1" s="1"/>
  <c r="AR78" i="1" s="1"/>
  <c r="AV79" i="1" s="1"/>
  <c r="BB79" i="1"/>
  <c r="BA80" i="1"/>
  <c r="AZ80" i="1"/>
  <c r="DZ79" i="1" l="1"/>
  <c r="AC80" i="1"/>
  <c r="U80" i="1" s="1"/>
  <c r="W80" i="1" s="1"/>
  <c r="EF79" i="1"/>
  <c r="EH79" i="1" s="1"/>
  <c r="EI79" i="1" s="1"/>
  <c r="EJ79" i="1" s="1"/>
  <c r="AQ79" i="1"/>
  <c r="AR79" i="1" s="1"/>
  <c r="AV80" i="1" s="1"/>
  <c r="DZ80" i="1" s="1"/>
  <c r="BB80" i="1"/>
  <c r="EF80" i="1" l="1"/>
  <c r="EH80" i="1" s="1"/>
  <c r="EI80" i="1" s="1"/>
  <c r="EJ80" i="1" s="1"/>
  <c r="AQ80" i="1"/>
  <c r="AR8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<sst xmlns="http://schemas.openxmlformats.org/spreadsheetml/2006/main" count="114" uniqueCount="108">
  <si>
    <t>Year</t>
  </si>
  <si>
    <t>estimates</t>
  </si>
  <si>
    <t>Projection</t>
  </si>
  <si>
    <t>US_POP</t>
  </si>
  <si>
    <t>Reported data</t>
  </si>
  <si>
    <t>estimated/predicted data</t>
  </si>
  <si>
    <t>F1 (kg)</t>
  </si>
  <si>
    <t>F2(kg)</t>
  </si>
  <si>
    <t>F3(kg)</t>
  </si>
  <si>
    <t>F4(kg)</t>
  </si>
  <si>
    <r>
      <t>factor for V</t>
    </r>
    <r>
      <rPr>
        <vertAlign val="subscript"/>
        <sz val="11"/>
        <color theme="1"/>
        <rFont val="Calibri"/>
        <family val="2"/>
        <scheme val="minor"/>
      </rPr>
      <t>production</t>
    </r>
  </si>
  <si>
    <t>US_POP
(million)</t>
  </si>
  <si>
    <r>
      <t>P</t>
    </r>
    <r>
      <rPr>
        <vertAlign val="subscript"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
(</t>
    </r>
    <r>
      <rPr>
        <sz val="11"/>
        <color theme="1"/>
        <rFont val="Calibri"/>
        <family val="2"/>
      </rPr>
      <t>μg/m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</si>
  <si>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ex
</t>
    </r>
    <r>
      <rPr>
        <sz val="11"/>
        <color theme="1"/>
        <rFont val="Calibri"/>
        <family val="2"/>
        <scheme val="minor"/>
      </rPr>
      <t>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</si>
  <si>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ex
</t>
    </r>
    <r>
      <rPr>
        <sz val="11"/>
        <color theme="1"/>
        <rFont val="Calibri"/>
        <family val="2"/>
        <scheme val="minor"/>
      </rPr>
      <t>(μg/m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</si>
  <si>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%-nylon
(</t>
    </r>
    <r>
      <rPr>
        <sz val="11"/>
        <color theme="1"/>
        <rFont val="Symbol"/>
        <family val="1"/>
        <charset val="2"/>
      </rPr>
      <t>g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</si>
  <si>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in
</t>
    </r>
    <r>
      <rPr>
        <sz val="11"/>
        <color theme="1"/>
        <rFont val="Calibri"/>
        <family val="2"/>
        <scheme val="minor"/>
      </rPr>
      <t>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</si>
  <si>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>production</t>
    </r>
    <r>
      <rPr>
        <sz val="11"/>
        <color theme="1"/>
        <rFont val="Calibri"/>
        <family val="2"/>
        <scheme val="minor"/>
      </rPr>
      <t xml:space="preserve">
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</si>
  <si>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sales </t>
    </r>
    <r>
      <rPr>
        <sz val="11"/>
        <color theme="1"/>
        <rFont val="Calibri"/>
        <family val="2"/>
        <scheme val="minor"/>
      </rPr>
      <t xml:space="preserve">
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</si>
  <si>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production 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Calibri"/>
        <family val="2"/>
      </rPr>
      <t>μg/m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</t>
    </r>
  </si>
  <si>
    <t>SP</t>
  </si>
  <si>
    <r>
      <t>V</t>
    </r>
    <r>
      <rPr>
        <vertAlign val="subscript"/>
        <sz val="11"/>
        <color theme="1"/>
        <rFont val="Calibri"/>
        <family val="2"/>
        <scheme val="minor"/>
      </rPr>
      <t>nylon,j</t>
    </r>
    <r>
      <rPr>
        <sz val="11"/>
        <color theme="1"/>
        <rFont val="Calibri"/>
        <family val="2"/>
        <scheme val="minor"/>
      </rPr>
      <t xml:space="preserve">
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</si>
  <si>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Average lifespan</t>
  </si>
  <si>
    <t>Std lifespan</t>
  </si>
  <si>
    <t>Log Normal</t>
  </si>
  <si>
    <t>Normal</t>
  </si>
  <si>
    <r>
      <t>V</t>
    </r>
    <r>
      <rPr>
        <vertAlign val="subscript"/>
        <sz val="11"/>
        <color theme="1"/>
        <rFont val="Calibri"/>
        <family val="2"/>
        <scheme val="minor"/>
      </rPr>
      <t>nylon,j</t>
    </r>
    <r>
      <rPr>
        <sz val="11"/>
        <color theme="1"/>
        <rFont val="Calibri"/>
        <family val="2"/>
        <scheme val="minor"/>
      </rPr>
      <t xml:space="preserve">
transposed</t>
    </r>
  </si>
  <si>
    <r>
      <t>P4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
(μg/m2)</t>
    </r>
  </si>
  <si>
    <t>% Recycled into
face fibers</t>
  </si>
  <si>
    <r>
      <t xml:space="preserve">b
</t>
    </r>
    <r>
      <rPr>
        <sz val="11"/>
        <color theme="1"/>
        <rFont val="Calibri"/>
        <family val="2"/>
        <scheme val="minor"/>
      </rPr>
      <t>total carpet</t>
    </r>
    <r>
      <rPr>
        <sz val="11"/>
        <color theme="1"/>
        <rFont val="Symbol"/>
        <family val="1"/>
        <charset val="2"/>
      </rPr>
      <t xml:space="preserve"> </t>
    </r>
    <r>
      <rPr>
        <sz val="11"/>
        <color theme="1"/>
        <rFont val="Calibri"/>
        <family val="2"/>
        <scheme val="minor"/>
      </rPr>
      <t>recycling rate</t>
    </r>
  </si>
  <si>
    <t>Delta S</t>
  </si>
  <si>
    <t>Stock</t>
  </si>
  <si>
    <r>
      <t>A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</si>
  <si>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Average houlse hold size</t>
  </si>
  <si>
    <r>
      <t>P</t>
    </r>
    <r>
      <rPr>
        <vertAlign val="subscript"/>
        <sz val="11"/>
        <color theme="1"/>
        <rFont val="Calibri"/>
        <family val="2"/>
        <scheme val="minor"/>
      </rPr>
      <t>c,f</t>
    </r>
  </si>
  <si>
    <r>
      <t>Volume 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</si>
  <si>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with questions or doubt</t>
  </si>
  <si>
    <t>Yearly PFAS loss: to air</t>
  </si>
  <si>
    <t>Yearly PFAS loss: to dust</t>
  </si>
  <si>
    <r>
      <t>μg/m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/year</t>
    </r>
  </si>
  <si>
    <t>To air</t>
  </si>
  <si>
    <t>To dust</t>
  </si>
  <si>
    <t>Total</t>
  </si>
  <si>
    <t>F5(Recycling)(kg)</t>
  </si>
  <si>
    <t>SP  (KG)_nylon</t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</si>
  <si>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sales,nylon </t>
    </r>
    <r>
      <rPr>
        <sz val="11"/>
        <color theme="1"/>
        <rFont val="Calibri"/>
        <family val="2"/>
        <scheme val="minor"/>
      </rPr>
      <t xml:space="preserve">
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</si>
  <si>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In-Use Stock(Nylon)</t>
  </si>
  <si>
    <t>SP_EoL</t>
  </si>
  <si>
    <t>F6_ Emissions(kg)</t>
  </si>
  <si>
    <t>landfill accumulation</t>
  </si>
  <si>
    <r>
      <t>V4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_new</t>
    </r>
  </si>
  <si>
    <t>EoL_initial
Stock</t>
  </si>
  <si>
    <t>V4_total</t>
  </si>
  <si>
    <t>average age of initial stock</t>
  </si>
  <si>
    <t>Sales &amp; domestic production</t>
  </si>
  <si>
    <t>V_nylon
domestic
production</t>
  </si>
  <si>
    <t>done</t>
  </si>
  <si>
    <r>
      <t>V</t>
    </r>
    <r>
      <rPr>
        <vertAlign val="subscript"/>
        <sz val="11"/>
        <color theme="1"/>
        <rFont val="Calibri"/>
        <family val="2"/>
        <scheme val="minor"/>
      </rPr>
      <t>domestic_production</t>
    </r>
    <r>
      <rPr>
        <sz val="11"/>
        <color theme="1"/>
        <rFont val="Calibri"/>
        <family val="2"/>
        <scheme val="minor"/>
      </rPr>
      <t xml:space="preserve">
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</si>
  <si>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Vproduction including domestic and exported</t>
  </si>
  <si>
    <t>V_nylon
production</t>
  </si>
  <si>
    <t>F2</t>
  </si>
  <si>
    <t>F1</t>
  </si>
  <si>
    <t>F_production</t>
  </si>
  <si>
    <t>SP_total
(= F2)</t>
  </si>
  <si>
    <t>F8(kg)</t>
  </si>
  <si>
    <t>yearly
incineration</t>
  </si>
  <si>
    <t>F9(kg)</t>
  </si>
  <si>
    <t>Emission
during carpet
production</t>
  </si>
  <si>
    <t>landfill 
ratio
From EoL</t>
  </si>
  <si>
    <t>Yearly
landfill
PFAS</t>
  </si>
  <si>
    <t>Accumulated
PFAS
in
landfill(KG)</t>
  </si>
  <si>
    <t>Accumulated
PFAS
in landfill
(Tonnes)</t>
  </si>
  <si>
    <t>SA</t>
  </si>
  <si>
    <t>tonnes/ha</t>
  </si>
  <si>
    <t>LG</t>
  </si>
  <si>
    <t>m3/ha/day</t>
  </si>
  <si>
    <r>
      <t>landfill leachate (x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</si>
  <si>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t>μg/L</t>
  </si>
  <si>
    <t>Prod_emi_high_rate</t>
  </si>
  <si>
    <t>Prod_emi_low_rate</t>
  </si>
  <si>
    <t>F7(kg)</t>
  </si>
  <si>
    <t>F_EoL_total</t>
  </si>
  <si>
    <t xml:space="preserve">average mass of carpet </t>
  </si>
  <si>
    <t>kg/m2</t>
  </si>
  <si>
    <r>
      <t xml:space="preserve"> V4</t>
    </r>
    <r>
      <rPr>
        <vertAlign val="subscript"/>
        <sz val="11"/>
        <color theme="1"/>
        <rFont val="Calibri"/>
        <family val="2"/>
        <scheme val="minor"/>
      </rPr>
      <t xml:space="preserve">t 
</t>
    </r>
    <r>
      <rPr>
        <sz val="11"/>
        <color theme="1"/>
        <rFont val="Calibri"/>
        <family val="2"/>
        <scheme val="minor"/>
      </rPr>
      <t>nylon carpet</t>
    </r>
    <r>
      <rPr>
        <vertAlign val="subscript"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(million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</si>
  <si>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 xml:space="preserve"> production
loss %</t>
  </si>
  <si>
    <t>V_nylon
Production
waste
(million m2)</t>
  </si>
  <si>
    <t>Mass of 
waste
metric tons</t>
  </si>
  <si>
    <t>landfill leachate</t>
  </si>
  <si>
    <t>V - EoL nylon
carpet to landfill
(million m2)</t>
  </si>
  <si>
    <t>V_to landfill
(million m2)</t>
  </si>
  <si>
    <t>V_landfill 
accumulation
(million m2)</t>
  </si>
  <si>
    <t>PFAS
landfill
leachate
(kg/year)</t>
  </si>
  <si>
    <t>Incineration
rate (ω)</t>
  </si>
  <si>
    <t>Loss in production</t>
  </si>
  <si>
    <t>Recycled
into backin</t>
  </si>
  <si>
    <t>rate</t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</si>
  <si>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
total in-use
nylon carpet area</t>
    </r>
  </si>
  <si>
    <t>left in stock</t>
  </si>
  <si>
    <t>Inflow</t>
  </si>
  <si>
    <t>F10</t>
  </si>
  <si>
    <t>Post-sale cleaning</t>
  </si>
  <si>
    <t>average import 2008~2016</t>
  </si>
  <si>
    <t>average export 2008~2016</t>
  </si>
  <si>
    <t>average import 2017~2025</t>
  </si>
  <si>
    <t>average export 2017~2025</t>
  </si>
  <si>
    <t>average per cap per year sales 2002~2013 (m2)</t>
  </si>
  <si>
    <t>average per cap per year sales 2014~2025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</si>
</sst>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8" applyNumberFormat="0" applyAlignment="0" applyProtection="0"/>
    <xf numFmtId="0" fontId="18" fillId="10" borderId="9" applyNumberFormat="0" applyAlignment="0" applyProtection="0"/>
    <xf numFmtId="0" fontId="19" fillId="10" borderId="8" applyNumberFormat="0" applyAlignment="0" applyProtection="0"/>
    <xf numFmtId="0" fontId="20" fillId="0" borderId="10" applyNumberFormat="0" applyFill="0" applyAlignment="0" applyProtection="0"/>
    <xf numFmtId="0" fontId="21" fillId="11" borderId="11" applyNumberFormat="0" applyAlignment="0" applyProtection="0"/>
    <xf numFmtId="0" fontId="22" fillId="0" borderId="0" applyNumberFormat="0" applyFill="0" applyBorder="0" applyAlignment="0" applyProtection="0"/>
    <xf numFmtId="0" fontId="9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8" fillId="0" borderId="13" applyNumberFormat="0" applyFill="0" applyAlignment="0" applyProtection="0"/>
    <xf numFmtId="0" fontId="7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7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7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7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7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7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</cellStyleXfs>
  <cellXfs count="4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2" fontId="0" fillId="0" borderId="3" xfId="0" applyNumberFormat="1" applyBorder="1"/>
    <xf numFmtId="2" fontId="0" fillId="0" borderId="2" xfId="0" applyNumberFormat="1" applyBorder="1"/>
    <xf numFmtId="0" fontId="0" fillId="0" borderId="4" xfId="0" applyBorder="1"/>
    <xf numFmtId="2" fontId="0" fillId="0" borderId="4" xfId="0" applyNumberFormat="1" applyBorder="1"/>
    <xf numFmtId="0" fontId="0" fillId="3" borderId="2" xfId="0" applyFill="1" applyBorder="1"/>
    <xf numFmtId="2" fontId="0" fillId="2" borderId="2" xfId="0" applyNumberFormat="1" applyFill="1" applyBorder="1"/>
    <xf numFmtId="2" fontId="0" fillId="3" borderId="2" xfId="0" applyNumberFormat="1" applyFill="1" applyBorder="1"/>
    <xf numFmtId="2" fontId="0" fillId="3" borderId="0" xfId="0" applyNumberFormat="1" applyFill="1"/>
    <xf numFmtId="1" fontId="0" fillId="0" borderId="3" xfId="0" applyNumberFormat="1" applyBorder="1"/>
    <xf numFmtId="2" fontId="0" fillId="2" borderId="0" xfId="0" applyNumberFormat="1" applyFill="1"/>
    <xf numFmtId="0" fontId="0" fillId="4" borderId="1" xfId="0" applyFill="1" applyBorder="1"/>
    <xf numFmtId="0" fontId="0" fillId="0" borderId="0" xfId="0" applyAlignment="1">
      <alignment wrapText="1"/>
    </xf>
    <xf numFmtId="165" fontId="0" fillId="2" borderId="2" xfId="0" applyNumberFormat="1" applyFill="1" applyBorder="1"/>
    <xf numFmtId="165" fontId="0" fillId="3" borderId="2" xfId="0" applyNumberFormat="1" applyFill="1" applyBorder="1"/>
    <xf numFmtId="164" fontId="0" fillId="2" borderId="0" xfId="0" applyNumberFormat="1" applyFill="1"/>
    <xf numFmtId="0" fontId="0" fillId="5" borderId="2" xfId="0" applyFill="1" applyBorder="1"/>
    <xf numFmtId="165" fontId="0" fillId="0" borderId="2" xfId="0" applyNumberFormat="1" applyBorder="1"/>
    <xf numFmtId="0" fontId="0" fillId="38" borderId="3" xfId="0" applyFill="1" applyBorder="1"/>
    <xf numFmtId="0" fontId="0" fillId="37" borderId="1" xfId="0" applyFill="1" applyBorder="1"/>
    <xf numFmtId="165" fontId="0" fillId="37" borderId="1" xfId="0" applyNumberFormat="1" applyFill="1" applyBorder="1"/>
    <xf numFmtId="2" fontId="0" fillId="37" borderId="1" xfId="0" applyNumberFormat="1" applyFill="1" applyBorder="1"/>
    <xf numFmtId="164" fontId="0" fillId="37" borderId="1" xfId="0" applyNumberFormat="1" applyFill="1" applyBorder="1"/>
    <xf numFmtId="0" fontId="0" fillId="37" borderId="1" xfId="0" applyFill="1" applyBorder="1" applyAlignment="1">
      <alignment horizontal="center"/>
    </xf>
    <xf numFmtId="0" fontId="2" fillId="37" borderId="1" xfId="0" applyFont="1" applyFill="1" applyBorder="1" applyAlignment="1">
      <alignment vertical="center"/>
    </xf>
    <xf numFmtId="0" fontId="24" fillId="37" borderId="1" xfId="0" applyFont="1" applyFill="1" applyBorder="1"/>
    <xf numFmtId="0" fontId="2" fillId="37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/>
    </xf>
    <xf numFmtId="0" fontId="2" fillId="37" borderId="1" xfId="0" applyFont="1" applyFill="1" applyBorder="1"/>
    <xf numFmtId="0" fontId="0" fillId="37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horizontal="center" vertical="center" wrapText="1"/>
    </xf>
    <xf numFmtId="0" fontId="0" fillId="37" borderId="1" xfId="0" applyFill="1" applyBorder="1" applyAlignment="1">
      <alignment wrapText="1"/>
    </xf>
    <xf numFmtId="0" fontId="0" fillId="38" borderId="1" xfId="0" applyFill="1" applyBorder="1"/>
    <xf numFmtId="2" fontId="0" fillId="38" borderId="1" xfId="0" applyNumberFormat="1" applyFill="1" applyBorder="1"/>
    <xf numFmtId="0" fontId="0" fillId="38" borderId="1" xfId="0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/>
    </xf>
    <xf numFmtId="0" fontId="8" fillId="37" borderId="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F_stock(KG)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SP_HIGH!$AR$10:$AR$80</c:f>
              <c:numCache>
                <c:formatCode>0.00</c:formatCode>
                <c:ptCount val="71"/>
                <c:pt idx="0">
                  <c:v>361833.70466269791</c:v>
                </c:pt>
                <c:pt idx="1">
                  <c:v>364733.988709556</c:v>
                </c:pt>
                <c:pt idx="2">
                  <c:v>368521.6144502869</c:v>
                </c:pt>
                <c:pt idx="3">
                  <c:v>372873.01180445624</c:v>
                </c:pt>
                <c:pt idx="4">
                  <c:v>377586.74646622065</c:v>
                </c:pt>
                <c:pt idx="5">
                  <c:v>382552.32872360566</c:v>
                </c:pt>
                <c:pt idx="6">
                  <c:v>387702.22543790407</c:v>
                </c:pt>
                <c:pt idx="7">
                  <c:v>393009.82746120304</c:v>
                </c:pt>
                <c:pt idx="8">
                  <c:v>398419.58827504382</c:v>
                </c:pt>
                <c:pt idx="9">
                  <c:v>403919.08407343092</c:v>
                </c:pt>
                <c:pt idx="10">
                  <c:v>409318.39396193641</c:v>
                </c:pt>
                <c:pt idx="11">
                  <c:v>416083.7866187261</c:v>
                </c:pt>
                <c:pt idx="12">
                  <c:v>426658.6318067789</c:v>
                </c:pt>
                <c:pt idx="13">
                  <c:v>436580.71652843693</c:v>
                </c:pt>
                <c:pt idx="14">
                  <c:v>448594.3888001442</c:v>
                </c:pt>
                <c:pt idx="15">
                  <c:v>461139.03361502185</c:v>
                </c:pt>
                <c:pt idx="16">
                  <c:v>469957.23704445793</c:v>
                </c:pt>
                <c:pt idx="17">
                  <c:v>475769.44050066819</c:v>
                </c:pt>
                <c:pt idx="18">
                  <c:v>481287.03112802986</c:v>
                </c:pt>
                <c:pt idx="19">
                  <c:v>478656.57333275443</c:v>
                </c:pt>
                <c:pt idx="20">
                  <c:v>473056.88935857994</c:v>
                </c:pt>
                <c:pt idx="21">
                  <c:v>468331.01228612725</c:v>
                </c:pt>
                <c:pt idx="22">
                  <c:v>459794.59204346838</c:v>
                </c:pt>
                <c:pt idx="23">
                  <c:v>451457.05975013843</c:v>
                </c:pt>
                <c:pt idx="24">
                  <c:v>442833.49259061785</c:v>
                </c:pt>
                <c:pt idx="25">
                  <c:v>434796.5200130578</c:v>
                </c:pt>
                <c:pt idx="26">
                  <c:v>427128.71213858243</c:v>
                </c:pt>
                <c:pt idx="27">
                  <c:v>420654.8499671045</c:v>
                </c:pt>
                <c:pt idx="28">
                  <c:v>412107.57848474308</c:v>
                </c:pt>
                <c:pt idx="29">
                  <c:v>401833.55268295226</c:v>
                </c:pt>
                <c:pt idx="30">
                  <c:v>395783.89785148378</c:v>
                </c:pt>
                <c:pt idx="31">
                  <c:v>392329.55427027802</c:v>
                </c:pt>
                <c:pt idx="32">
                  <c:v>388123.14089290716</c:v>
                </c:pt>
                <c:pt idx="33">
                  <c:v>381958.20384521544</c:v>
                </c:pt>
                <c:pt idx="34">
                  <c:v>374097.46389403456</c:v>
                </c:pt>
                <c:pt idx="35">
                  <c:v>366365.26269760716</c:v>
                </c:pt>
                <c:pt idx="36">
                  <c:v>363203.59217114723</c:v>
                </c:pt>
                <c:pt idx="37">
                  <c:v>360516.51826917287</c:v>
                </c:pt>
                <c:pt idx="38">
                  <c:v>358220.28222530254</c:v>
                </c:pt>
                <c:pt idx="39">
                  <c:v>356256.99082426366</c:v>
                </c:pt>
                <c:pt idx="40">
                  <c:v>354584.92323511984</c:v>
                </c:pt>
                <c:pt idx="41">
                  <c:v>353171.25181338971</c:v>
                </c:pt>
                <c:pt idx="42">
                  <c:v>351988.70140643086</c:v>
                </c:pt>
                <c:pt idx="43">
                  <c:v>351013.78666836856</c:v>
                </c:pt>
                <c:pt idx="44">
                  <c:v>350225.81599506113</c:v>
                </c:pt>
                <c:pt idx="45">
                  <c:v>349606.32034904062</c:v>
                </c:pt>
                <c:pt idx="46">
                  <c:v>349138.66933562455</c:v>
                </c:pt>
                <c:pt idx="47">
                  <c:v>348807.89112588507</c:v>
                </c:pt>
                <c:pt idx="48">
                  <c:v>348600.49699055823</c:v>
                </c:pt>
                <c:pt idx="49">
                  <c:v>348504.3298552038</c:v>
                </c:pt>
                <c:pt idx="50">
                  <c:v>348508.399399894</c:v>
                </c:pt>
                <c:pt idx="51">
                  <c:v>348602.81093236868</c:v>
                </c:pt>
                <c:pt idx="52">
                  <c:v>348778.74224808242</c:v>
                </c:pt>
                <c:pt idx="53">
                  <c:v>349028.37961898174</c:v>
                </c:pt>
                <c:pt idx="54">
                  <c:v>349344.82213307684</c:v>
                </c:pt>
                <c:pt idx="55">
                  <c:v>349722.00710607629</c:v>
                </c:pt>
                <c:pt idx="56">
                  <c:v>350154.63579458266</c:v>
                </c:pt>
                <c:pt idx="57">
                  <c:v>350638.10058219434</c:v>
                </c:pt>
                <c:pt idx="58">
                  <c:v>351168.42718865472</c:v>
                </c:pt>
                <c:pt idx="59">
                  <c:v>351742.22321767552</c:v>
                </c:pt>
                <c:pt idx="60">
                  <c:v>352356.62167381833</c:v>
                </c:pt>
                <c:pt idx="61">
                  <c:v>353009.21255887905</c:v>
                </c:pt>
                <c:pt idx="62">
                  <c:v>353697.84449024743</c:v>
                </c:pt>
                <c:pt idx="63">
                  <c:v>354420.56016886467</c:v>
                </c:pt>
                <c:pt idx="64">
                  <c:v>355175.58332858229</c:v>
                </c:pt>
                <c:pt idx="65">
                  <c:v>355961.30781002255</c:v>
                </c:pt>
                <c:pt idx="66">
                  <c:v>356776.29064569582</c:v>
                </c:pt>
                <c:pt idx="67">
                  <c:v>357619.27278738254</c:v>
                </c:pt>
                <c:pt idx="68">
                  <c:v>358489.17170292203</c:v>
                </c:pt>
                <c:pt idx="69">
                  <c:v>359385.08366295532</c:v>
                </c:pt>
                <c:pt idx="70">
                  <c:v>360306.25958335586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BD-4B62-AECD-2E395DEC0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587423"/>
        <c:axId val="706587839"/>
      </c:lineChart>
      <c:catAx>
        <c:axId val="706587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87839"/>
        <c:crosses val="autoZero"/>
        <c:auto val="1"/>
        <c:lblAlgn val="ctr"/>
        <c:lblOffset val="100"/>
        <c:noMultiLvlLbl val="0"/>
      </c:catAx>
      <c:valAx>
        <c:axId val="7065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8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F_delta_S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SP_HIGH!$AQ$10:$AQ$80</c:f>
              <c:numCache>
                <c:formatCode>0.00</c:formatCode>
                <c:ptCount val="71"/>
                <c:pt idx="0">
                  <c:v>746.27859687091154</c:v>
                </c:pt>
                <c:pt idx="1">
                  <c:v>2900.2840468580898</c:v>
                </c:pt>
                <c:pt idx="2">
                  <c:v>3787.6257407308981</c:v>
                </c:pt>
                <c:pt idx="3">
                  <c:v>4351.3973541693576</c:v>
                </c:pt>
                <c:pt idx="4">
                  <c:v>4713.7346617643943</c:v>
                </c:pt>
                <c:pt idx="5">
                  <c:v>4965.582257385011</c:v>
                </c:pt>
                <c:pt idx="6">
                  <c:v>5149.8967142983765</c:v>
                </c:pt>
                <c:pt idx="7">
                  <c:v>5307.6020232989958</c:v>
                </c:pt>
                <c:pt idx="8">
                  <c:v>5409.7608138407704</c:v>
                </c:pt>
                <c:pt idx="9">
                  <c:v>5499.4957983871045</c:v>
                </c:pt>
                <c:pt idx="10">
                  <c:v>5399.3098885054815</c:v>
                </c:pt>
                <c:pt idx="11">
                  <c:v>6765.392656789656</c:v>
                </c:pt>
                <c:pt idx="12">
                  <c:v>10574.845188052828</c:v>
                </c:pt>
                <c:pt idx="13">
                  <c:v>9922.0847216580187</c:v>
                </c:pt>
                <c:pt idx="14">
                  <c:v>12013.672271707241</c:v>
                </c:pt>
                <c:pt idx="15">
                  <c:v>12544.644814877638</c:v>
                </c:pt>
                <c:pt idx="16">
                  <c:v>8818.2034294360928</c:v>
                </c:pt>
                <c:pt idx="17">
                  <c:v>5812.2034562102681</c:v>
                </c:pt>
                <c:pt idx="18">
                  <c:v>5517.5906273616938</c:v>
                </c:pt>
                <c:pt idx="19">
                  <c:v>-2630.4577952754134</c:v>
                </c:pt>
                <c:pt idx="20">
                  <c:v>-5599.6839741744634</c:v>
                </c:pt>
                <c:pt idx="21">
                  <c:v>-4725.8770724526612</c:v>
                </c:pt>
                <c:pt idx="22">
                  <c:v>-8536.4202426588672</c:v>
                </c:pt>
                <c:pt idx="23">
                  <c:v>-8337.5322933299685</c:v>
                </c:pt>
                <c:pt idx="24">
                  <c:v>-8623.5671595205877</c:v>
                </c:pt>
                <c:pt idx="25">
                  <c:v>-8036.9725775600509</c:v>
                </c:pt>
                <c:pt idx="26">
                  <c:v>-7667.8078744753911</c:v>
                </c:pt>
                <c:pt idx="27">
                  <c:v>-6473.8621714779374</c:v>
                </c:pt>
                <c:pt idx="28">
                  <c:v>-8547.2714823614278</c:v>
                </c:pt>
                <c:pt idx="29">
                  <c:v>-10274.025801790813</c:v>
                </c:pt>
                <c:pt idx="30">
                  <c:v>-6049.6548314684815</c:v>
                </c:pt>
                <c:pt idx="31">
                  <c:v>-3454.3435812057792</c:v>
                </c:pt>
                <c:pt idx="32">
                  <c:v>-4206.4133773708691</c:v>
                </c:pt>
                <c:pt idx="33">
                  <c:v>-6164.9370476917102</c:v>
                </c:pt>
                <c:pt idx="34">
                  <c:v>-7860.7399511809017</c:v>
                </c:pt>
                <c:pt idx="35">
                  <c:v>-7732.2011964273979</c:v>
                </c:pt>
                <c:pt idx="36">
                  <c:v>-3161.6705264599418</c:v>
                </c:pt>
                <c:pt idx="37">
                  <c:v>-2687.0739019743846</c:v>
                </c:pt>
                <c:pt idx="38">
                  <c:v>-2296.2360438703276</c:v>
                </c:pt>
                <c:pt idx="39">
                  <c:v>-1963.2914010388818</c:v>
                </c:pt>
                <c:pt idx="40">
                  <c:v>-1672.0675891437872</c:v>
                </c:pt>
                <c:pt idx="41">
                  <c:v>-1413.6714217301469</c:v>
                </c:pt>
                <c:pt idx="42">
                  <c:v>-1182.550406958826</c:v>
                </c:pt>
                <c:pt idx="43">
                  <c:v>-974.91473806231602</c:v>
                </c:pt>
                <c:pt idx="44">
                  <c:v>-787.97067330742311</c:v>
                </c:pt>
                <c:pt idx="45">
                  <c:v>-619.49564602053488</c:v>
                </c:pt>
                <c:pt idx="46">
                  <c:v>-467.6510134160489</c:v>
                </c:pt>
                <c:pt idx="47">
                  <c:v>-330.77820973945472</c:v>
                </c:pt>
                <c:pt idx="48">
                  <c:v>-207.39413532685271</c:v>
                </c:pt>
                <c:pt idx="49">
                  <c:v>-96.167135354430684</c:v>
                </c:pt>
                <c:pt idx="50">
                  <c:v>4.0695446901719805</c:v>
                </c:pt>
                <c:pt idx="51">
                  <c:v>94.411532474660916</c:v>
                </c:pt>
                <c:pt idx="52">
                  <c:v>175.93131571375426</c:v>
                </c:pt>
                <c:pt idx="53">
                  <c:v>249.63737089929799</c:v>
                </c:pt>
                <c:pt idx="54">
                  <c:v>316.44251409512941</c:v>
                </c:pt>
                <c:pt idx="55">
                  <c:v>377.18497299942817</c:v>
                </c:pt>
                <c:pt idx="56">
                  <c:v>432.62868850639177</c:v>
                </c:pt>
                <c:pt idx="57">
                  <c:v>483.46478761169715</c:v>
                </c:pt>
                <c:pt idx="58">
                  <c:v>530.32660646037584</c:v>
                </c:pt>
                <c:pt idx="59">
                  <c:v>573.79602902077443</c:v>
                </c:pt>
                <c:pt idx="60">
                  <c:v>614.39845614279909</c:v>
                </c:pt>
                <c:pt idx="61">
                  <c:v>652.59088506071487</c:v>
                </c:pt>
                <c:pt idx="62">
                  <c:v>688.63193136835093</c:v>
                </c:pt>
                <c:pt idx="63">
                  <c:v>722.71567861724725</c:v>
                </c:pt>
                <c:pt idx="64">
                  <c:v>755.02315971759128</c:v>
                </c:pt>
                <c:pt idx="65">
                  <c:v>785.72448144028078</c:v>
                </c:pt>
                <c:pt idx="66">
                  <c:v>814.98283567326087</c:v>
                </c:pt>
                <c:pt idx="67">
                  <c:v>842.98214168671927</c:v>
                </c:pt>
                <c:pt idx="68">
                  <c:v>869.89891553949758</c:v>
                </c:pt>
                <c:pt idx="69">
                  <c:v>895.91196003332038</c:v>
                </c:pt>
                <c:pt idx="70">
                  <c:v>921.17592040056456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6-4AEF-8211-08CD21C53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364911"/>
        <c:axId val="748353263"/>
      </c:lineChart>
      <c:catAx>
        <c:axId val="748364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53263"/>
        <c:crosses val="autoZero"/>
        <c:auto val="1"/>
        <c:lblAlgn val="ctr"/>
        <c:lblOffset val="100"/>
        <c:noMultiLvlLbl val="0"/>
      </c:catAx>
      <c:valAx>
        <c:axId val="74835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6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SP_HIGH!$D$9</c:f>
              <c:strCache>
                <c:ptCount val="1"/>
                <c:pt idx="0">
                  <c:v>US_POP
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SP_HIGH!$B$10:$B$80</c:f>
              <c:numCache>
                <c:formatCode>General</c:formatCode>
                <c:ptCount val="7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  <c:pt idx="61">
                  <c:v>2051</c:v>
                </c:pt>
                <c:pt idx="62">
                  <c:v>2052</c:v>
                </c:pt>
                <c:pt idx="63">
                  <c:v>2053</c:v>
                </c:pt>
                <c:pt idx="64">
                  <c:v>2054</c:v>
                </c:pt>
                <c:pt idx="65">
                  <c:v>2055</c:v>
                </c:pt>
                <c:pt idx="66">
                  <c:v>2056</c:v>
                </c:pt>
                <c:pt idx="67">
                  <c:v>2057</c:v>
                </c:pt>
                <c:pt idx="68">
                  <c:v>2058</c:v>
                </c:pt>
                <c:pt idx="69">
                  <c:v>2059</c:v>
                </c:pt>
                <c:pt idx="70">
                  <c:v>2060</c:v>
                </c:pt>
              </c:numCache>
            </c:numRef>
          </c:cat>
          <c:val>
            <c:numRef>
              <c:f>SP_HIGH!$D$10:$D$80</c:f>
              <c:numCache>
                <c:formatCode>0.00</c:formatCode>
                <c:ptCount val="71"/>
                <c:pt idx="0">
                  <c:v>249.35072600000001</c:v>
                </c:pt>
                <c:pt idx="1">
                  <c:v>252.32128700000001</c:v>
                </c:pt>
                <c:pt idx="2">
                  <c:v>255.322416</c:v>
                </c:pt>
                <c:pt idx="3">
                  <c:v>258.14886000000001</c:v>
                </c:pt>
                <c:pt idx="4">
                  <c:v>260.74149499999999</c:v>
                </c:pt>
                <c:pt idx="5">
                  <c:v>263.27571499999999</c:v>
                </c:pt>
                <c:pt idx="6">
                  <c:v>265.80803300000002</c:v>
                </c:pt>
                <c:pt idx="7">
                  <c:v>268.48958800000003</c:v>
                </c:pt>
                <c:pt idx="8">
                  <c:v>271.032375</c:v>
                </c:pt>
                <c:pt idx="9">
                  <c:v>273.682793</c:v>
                </c:pt>
                <c:pt idx="10">
                  <c:v>276.42990500000002</c:v>
                </c:pt>
                <c:pt idx="11">
                  <c:v>284.76746600000001</c:v>
                </c:pt>
                <c:pt idx="12">
                  <c:v>287.54563100000001</c:v>
                </c:pt>
                <c:pt idx="13">
                  <c:v>290.19203599999997</c:v>
                </c:pt>
                <c:pt idx="14">
                  <c:v>293.051784</c:v>
                </c:pt>
                <c:pt idx="15">
                  <c:v>295.80489899999998</c:v>
                </c:pt>
                <c:pt idx="16">
                  <c:v>298.74114300000002</c:v>
                </c:pt>
                <c:pt idx="17">
                  <c:v>301.73125700000003</c:v>
                </c:pt>
                <c:pt idx="18">
                  <c:v>304.53628200000003</c:v>
                </c:pt>
                <c:pt idx="19">
                  <c:v>306.81750199999999</c:v>
                </c:pt>
                <c:pt idx="20">
                  <c:v>309.320851</c:v>
                </c:pt>
                <c:pt idx="21">
                  <c:v>311.59112399999998</c:v>
                </c:pt>
                <c:pt idx="22">
                  <c:v>313.89171299999998</c:v>
                </c:pt>
                <c:pt idx="23">
                  <c:v>316.07915300000002</c:v>
                </c:pt>
                <c:pt idx="24">
                  <c:v>318.41001599999998</c:v>
                </c:pt>
                <c:pt idx="25">
                  <c:v>320.766593</c:v>
                </c:pt>
                <c:pt idx="26">
                  <c:v>323.10315300000002</c:v>
                </c:pt>
                <c:pt idx="27">
                  <c:v>325.15755000000001</c:v>
                </c:pt>
                <c:pt idx="28">
                  <c:v>326.87662399999999</c:v>
                </c:pt>
                <c:pt idx="29">
                  <c:v>328.371824</c:v>
                </c:pt>
                <c:pt idx="30">
                  <c:v>331.578103</c:v>
                </c:pt>
                <c:pt idx="31">
                  <c:v>332.100167</c:v>
                </c:pt>
                <c:pt idx="32">
                  <c:v>333.99630400000001</c:v>
                </c:pt>
                <c:pt idx="33">
                  <c:v>336.75505199999998</c:v>
                </c:pt>
                <c:pt idx="34">
                  <c:v>340.00379700000002</c:v>
                </c:pt>
                <c:pt idx="35">
                  <c:v>341.78485599999999</c:v>
                </c:pt>
                <c:pt idx="36">
                  <c:v>343.931828</c:v>
                </c:pt>
                <c:pt idx="37">
                  <c:v>346.045883</c:v>
                </c:pt>
                <c:pt idx="38">
                  <c:v>348.12328500000001</c:v>
                </c:pt>
                <c:pt idx="39">
                  <c:v>350.16007200000001</c:v>
                </c:pt>
                <c:pt idx="40">
                  <c:v>352.15261700000002</c:v>
                </c:pt>
                <c:pt idx="41">
                  <c:v>354.09780899999998</c:v>
                </c:pt>
                <c:pt idx="42">
                  <c:v>355.99551200000002</c:v>
                </c:pt>
                <c:pt idx="43">
                  <c:v>357.84631100000001</c:v>
                </c:pt>
                <c:pt idx="44">
                  <c:v>359.65075999999999</c:v>
                </c:pt>
                <c:pt idx="45">
                  <c:v>361.40966600000002</c:v>
                </c:pt>
                <c:pt idx="46">
                  <c:v>363.12377500000002</c:v>
                </c:pt>
                <c:pt idx="47">
                  <c:v>364.795028</c:v>
                </c:pt>
                <c:pt idx="48">
                  <c:v>366.42573199999998</c:v>
                </c:pt>
                <c:pt idx="49">
                  <c:v>368.01835199999999</c:v>
                </c:pt>
                <c:pt idx="50">
                  <c:v>369.57494800000001</c:v>
                </c:pt>
                <c:pt idx="51">
                  <c:v>371.098207</c:v>
                </c:pt>
                <c:pt idx="52">
                  <c:v>372.59192999999999</c:v>
                </c:pt>
                <c:pt idx="53">
                  <c:v>374.06034699999998</c:v>
                </c:pt>
                <c:pt idx="54">
                  <c:v>375.50757499999997</c:v>
                </c:pt>
                <c:pt idx="55">
                  <c:v>376.93780500000003</c:v>
                </c:pt>
                <c:pt idx="56">
                  <c:v>378.35520200000002</c:v>
                </c:pt>
                <c:pt idx="57">
                  <c:v>379.76382699999999</c:v>
                </c:pt>
                <c:pt idx="58">
                  <c:v>381.167755</c:v>
                </c:pt>
                <c:pt idx="59">
                  <c:v>382.57108299999999</c:v>
                </c:pt>
                <c:pt idx="60">
                  <c:v>383.97778799999998</c:v>
                </c:pt>
                <c:pt idx="61">
                  <c:v>385.39148899999998</c:v>
                </c:pt>
                <c:pt idx="62">
                  <c:v>386.81352900000002</c:v>
                </c:pt>
                <c:pt idx="63">
                  <c:v>388.24469800000003</c:v>
                </c:pt>
                <c:pt idx="64">
                  <c:v>389.68583999999998</c:v>
                </c:pt>
                <c:pt idx="65">
                  <c:v>391.13782500000002</c:v>
                </c:pt>
                <c:pt idx="66">
                  <c:v>392.60157800000002</c:v>
                </c:pt>
                <c:pt idx="67">
                  <c:v>394.07845800000001</c:v>
                </c:pt>
                <c:pt idx="68">
                  <c:v>395.56987299999997</c:v>
                </c:pt>
                <c:pt idx="69">
                  <c:v>397.07742200000001</c:v>
                </c:pt>
                <c:pt idx="70">
                  <c:v>398.60252700000001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2-4AF7-B4D5-A57B51676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72383"/>
        <c:axId val="1864885343"/>
      </c:lineChart>
      <c:catAx>
        <c:axId val="186487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85343"/>
        <c:crosses val="autoZero"/>
        <c:auto val="1"/>
        <c:lblAlgn val="ctr"/>
        <c:lblOffset val="100"/>
        <c:noMultiLvlLbl val="0"/>
      </c:catAx>
      <c:valAx>
        <c:axId val="186488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97135</xdr:colOff>
      <xdr:row>110</xdr:row>
      <xdr:rowOff>176407</xdr:rowOff>
    </xdr:from>
    <xdr:to>
      <xdr:col>46</xdr:col>
      <xdr:colOff>556886</xdr:colOff>
      <xdr:row>125</xdr:row>
      <xdr:rowOff>72609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01AA0D-CB73-C827-8082-991C94AD6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296954</xdr:colOff>
      <xdr:row>128</xdr:row>
      <xdr:rowOff>110751</xdr:rowOff>
    </xdr:from>
    <xdr:to>
      <xdr:col>49</xdr:col>
      <xdr:colOff>64805</xdr:colOff>
      <xdr:row>143</xdr:row>
      <xdr:rowOff>7656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3CB449-1CF5-490A-510A-1189D6AEB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560301</xdr:colOff>
      <xdr:row>67</xdr:row>
      <xdr:rowOff>113180</xdr:rowOff>
    </xdr:from>
    <xdr:to>
      <xdr:col>62</xdr:col>
      <xdr:colOff>549095</xdr:colOff>
      <xdr:row>81</xdr:row>
      <xdr:rowOff>155762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341A4-B207-EF7F-4ACB-76711CE80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58"/>
  <sheetViews>
    <sheetView tabSelected="1" zoomScale="70" zoomScaleNormal="70" workbookViewId="0">
      <pane xSplit="4" ySplit="9" topLeftCell="E10" activePane="bottomRight" state="frozen"/>
      <selection pane="topRight" activeCell="E1" sqref="E1"/>
      <selection pane="bottomLeft" activeCell="A3" sqref="A3"/>
      <selection pane="bottomRight" activeCell="L25" sqref="L25"/>
    </sheetView>
  </sheetViews>
  <sheetFormatPr defaultRowHeight="15" x14ac:dyDescent="0.25"/>
  <cols>
    <col min="1" max="1" width="8.7109375" style="3"/>
    <col min="3" max="3" width="11.140625" bestFit="1" customWidth="1"/>
    <col min="4" max="4" width="11.140625" style="4" customWidth="1"/>
    <col min="5" max="5" width="16.140625" style="3" bestFit="1" customWidth="1"/>
    <col min="6" max="6" width="16.140625" customWidth="1"/>
    <col min="7" max="7" width="13.140625" bestFit="1" customWidth="1"/>
    <col min="8" max="8" width="10.140625" customWidth="1"/>
    <col min="9" max="9" width="13" bestFit="1" customWidth="1"/>
    <col min="10" max="10" width="9.5703125" bestFit="1" customWidth="1"/>
    <col min="11" max="11" width="14.42578125" customWidth="1"/>
    <col min="12" max="12" width="8.7109375" style="4"/>
    <col min="14" max="14" width="12.140625" style="3" bestFit="1" customWidth="1"/>
    <col min="15" max="15" width="12.140625" customWidth="1"/>
    <col min="16" max="16" width="10.5703125" customWidth="1"/>
    <col min="17" max="17" width="7.7109375" bestFit="1" customWidth="1"/>
    <col min="18" max="18" width="11.5703125" bestFit="1" customWidth="1"/>
    <col min="19" max="20" width="10.5703125" customWidth="1"/>
    <col min="21" max="21" width="10.140625" style="4" bestFit="1" customWidth="1"/>
    <col min="23" max="23" width="18.5703125" style="8" bestFit="1" customWidth="1"/>
    <col min="26" max="26" width="19.140625" bestFit="1" customWidth="1"/>
    <col min="27" max="27" width="14.140625" style="3" customWidth="1"/>
    <col min="28" max="28" width="13.7109375" bestFit="1" customWidth="1"/>
    <col min="29" max="29" width="8.28515625" style="4" bestFit="1" customWidth="1"/>
    <col min="30" max="33" width="8.28515625" customWidth="1"/>
    <col min="34" max="34" width="13.140625" customWidth="1"/>
    <col min="36" max="36" width="12.85546875" style="3" customWidth="1"/>
    <col min="37" max="37" width="15.85546875" customWidth="1"/>
    <col min="38" max="38" width="8.28515625" style="4" bestFit="1" customWidth="1"/>
    <col min="40" max="40" width="11.42578125" style="3" bestFit="1" customWidth="1"/>
    <col min="41" max="41" width="8.7109375" customWidth="1"/>
    <col min="42" max="42" width="10.140625" customWidth="1"/>
    <col min="43" max="43" width="9.42578125" bestFit="1" customWidth="1"/>
    <col min="44" max="44" width="13.42578125" style="4" bestFit="1" customWidth="1"/>
    <col min="45" max="45" width="13.42578125" customWidth="1"/>
    <col min="46" max="46" width="16.140625" bestFit="1" customWidth="1"/>
    <col min="48" max="48" width="9.140625" style="3"/>
    <col min="49" max="49" width="12.140625" customWidth="1"/>
    <col min="50" max="50" width="12.28515625" customWidth="1"/>
    <col min="51" max="54" width="10.5703125" customWidth="1"/>
    <col min="55" max="55" width="14.7109375" customWidth="1"/>
    <col min="56" max="56" width="11.42578125" customWidth="1"/>
    <col min="57" max="57" width="11.85546875" bestFit="1" customWidth="1"/>
    <col min="127" max="127" width="8.7109375" style="4"/>
    <col min="130" max="130" width="12" style="8" customWidth="1"/>
    <col min="132" max="132" width="12.7109375" style="3" bestFit="1" customWidth="1"/>
    <col min="134" max="134" width="9.140625" style="4"/>
    <col min="136" max="136" width="11.85546875" style="3" bestFit="1" customWidth="1"/>
    <col min="139" max="139" width="15.28515625" customWidth="1"/>
    <col min="140" max="140" width="13.42578125" style="4" customWidth="1"/>
    <col min="141" max="141" width="13.42578125" customWidth="1"/>
    <col min="144" max="144" width="16.42578125" style="3" customWidth="1"/>
    <col min="145" max="146" width="16.42578125" customWidth="1"/>
    <col min="147" max="147" width="13.28515625" customWidth="1"/>
    <col min="148" max="148" width="15.7109375" customWidth="1"/>
    <col min="149" max="149" width="12.28515625" style="4" bestFit="1" customWidth="1"/>
  </cols>
  <sheetData>
    <row r="1" spans="1:149" ht="18.75" x14ac:dyDescent="0.35">
      <c r="A1" s="24"/>
      <c r="B1" s="24"/>
      <c r="C1" s="24"/>
      <c r="D1" s="24"/>
      <c r="E1" s="24" t="s">
        <v>106</v>
      </c>
      <c r="F1" s="24"/>
      <c r="G1" s="24"/>
      <c r="H1" s="24"/>
      <c r="I1" s="24"/>
      <c r="J1" s="24">
        <v>3.27</v>
      </c>
      <c r="K1" s="24"/>
      <c r="L1" s="24"/>
      <c r="M1" s="24"/>
      <c r="N1" s="24" t="s">
        <v>10</v>
      </c>
      <c r="O1" s="24"/>
      <c r="P1" s="24"/>
      <c r="Q1" s="24">
        <v>0.98199999999999998</v>
      </c>
      <c r="R1" s="24"/>
      <c r="S1" s="24"/>
      <c r="T1" s="24"/>
      <c r="U1" s="24"/>
      <c r="V1" s="24"/>
      <c r="W1" s="24"/>
      <c r="X1" s="24"/>
      <c r="Y1" s="24"/>
      <c r="Z1" s="24" t="s">
        <v>96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 t="s">
        <v>32</v>
      </c>
      <c r="AO1" s="24"/>
      <c r="AP1" s="24">
        <v>186</v>
      </c>
      <c r="AQ1" s="24"/>
      <c r="AR1" s="24"/>
      <c r="AS1" s="24"/>
      <c r="AT1" s="25">
        <f>3.785*0.8*1%/1500*0.093*10^6/5</f>
        <v>0.37547200000000008</v>
      </c>
      <c r="AU1" s="24"/>
      <c r="AV1" s="24"/>
      <c r="AW1" s="24"/>
      <c r="AX1" s="24"/>
      <c r="AY1" s="24"/>
      <c r="AZ1" s="24"/>
      <c r="BA1" s="24"/>
      <c r="BB1" s="24"/>
      <c r="BC1" s="24"/>
      <c r="BD1" s="24" t="s">
        <v>24</v>
      </c>
      <c r="BE1" s="24"/>
      <c r="BF1" s="24" t="s">
        <v>25</v>
      </c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 t="s">
        <v>78</v>
      </c>
      <c r="EC1" s="24"/>
      <c r="ED1" s="24">
        <v>0.15</v>
      </c>
      <c r="EE1" s="24"/>
      <c r="EF1" s="24"/>
      <c r="EG1" s="24"/>
      <c r="EH1" s="24"/>
      <c r="EI1" s="24"/>
      <c r="EJ1" s="24"/>
      <c r="EK1" s="24"/>
      <c r="EL1" s="24"/>
      <c r="EM1" s="24"/>
      <c r="EN1" s="24" t="s">
        <v>72</v>
      </c>
      <c r="EO1" s="24"/>
      <c r="EP1" s="24"/>
      <c r="EQ1" s="24">
        <v>140</v>
      </c>
      <c r="ER1" s="24" t="s">
        <v>73</v>
      </c>
      <c r="ES1" s="24"/>
    </row>
    <row r="2" spans="1:149" x14ac:dyDescent="0.25">
      <c r="A2" s="24"/>
      <c r="B2" s="24"/>
      <c r="C2" s="24"/>
      <c r="D2" s="24"/>
      <c r="E2" s="24" t="s">
        <v>107</v>
      </c>
      <c r="F2" s="24"/>
      <c r="G2" s="24"/>
      <c r="H2" s="24"/>
      <c r="I2" s="24"/>
      <c r="J2" s="24">
        <v>2.76</v>
      </c>
      <c r="K2" s="24"/>
      <c r="L2" s="24"/>
      <c r="M2" s="24"/>
      <c r="N2" s="24" t="s">
        <v>58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>
        <v>0</v>
      </c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 t="s">
        <v>33</v>
      </c>
      <c r="AO2" s="24"/>
      <c r="AP2" s="24">
        <v>3</v>
      </c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 t="s">
        <v>22</v>
      </c>
      <c r="BC2" s="24"/>
      <c r="BD2" s="26">
        <f>LN(BF2)</f>
        <v>2.1517622032594619</v>
      </c>
      <c r="BE2" s="24"/>
      <c r="BF2" s="24">
        <v>8.6</v>
      </c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 t="s">
        <v>79</v>
      </c>
      <c r="EC2" s="24"/>
      <c r="ED2" s="24">
        <v>0.05</v>
      </c>
      <c r="EE2" s="24"/>
      <c r="EF2" s="24"/>
      <c r="EG2" s="24"/>
      <c r="EH2" s="24"/>
      <c r="EI2" s="24"/>
      <c r="EJ2" s="24"/>
      <c r="EK2" s="24"/>
      <c r="EL2" s="24"/>
      <c r="EM2" s="24"/>
      <c r="EN2" s="24" t="s">
        <v>82</v>
      </c>
      <c r="EO2" s="24"/>
      <c r="EP2" s="24"/>
      <c r="EQ2" s="24"/>
      <c r="ER2" s="24">
        <v>23.9</v>
      </c>
      <c r="ES2" s="24" t="s">
        <v>83</v>
      </c>
    </row>
    <row r="3" spans="1:149" ht="18" x14ac:dyDescent="0.35">
      <c r="A3" s="24"/>
      <c r="B3" s="24"/>
      <c r="C3" s="24"/>
      <c r="D3" s="24"/>
      <c r="E3" s="24" t="s">
        <v>102</v>
      </c>
      <c r="F3" s="24"/>
      <c r="G3" s="24"/>
      <c r="H3" s="24">
        <v>0.2</v>
      </c>
      <c r="I3" s="24"/>
      <c r="J3" s="24" t="s">
        <v>104</v>
      </c>
      <c r="K3" s="24"/>
      <c r="L3" s="24">
        <v>0.37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 t="s">
        <v>34</v>
      </c>
      <c r="AO3" s="24"/>
      <c r="AP3" s="24">
        <v>0.51</v>
      </c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 t="s">
        <v>23</v>
      </c>
      <c r="BC3" s="24"/>
      <c r="BD3" s="26">
        <f>LN(BF3)</f>
        <v>0.95551144502743635</v>
      </c>
      <c r="BE3" s="24"/>
      <c r="BF3" s="24">
        <v>2.6</v>
      </c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</row>
    <row r="4" spans="1:149" ht="17.25" x14ac:dyDescent="0.25">
      <c r="A4" s="24"/>
      <c r="B4" s="24"/>
      <c r="C4" s="24"/>
      <c r="D4" s="24"/>
      <c r="E4" s="24" t="s">
        <v>103</v>
      </c>
      <c r="F4" s="24"/>
      <c r="G4" s="24"/>
      <c r="H4" s="24">
        <v>0.09</v>
      </c>
      <c r="I4" s="24"/>
      <c r="J4" s="24" t="s">
        <v>105</v>
      </c>
      <c r="K4" s="24"/>
      <c r="L4" s="24">
        <v>0.06</v>
      </c>
      <c r="M4" s="24"/>
      <c r="N4" s="24"/>
      <c r="O4" s="24"/>
      <c r="P4" s="24" t="s">
        <v>54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 t="s">
        <v>37</v>
      </c>
      <c r="BC4" s="24"/>
      <c r="BD4" s="27"/>
      <c r="BE4" s="28">
        <v>0</v>
      </c>
      <c r="BF4" s="24" t="s">
        <v>39</v>
      </c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9" t="s">
        <v>49</v>
      </c>
      <c r="EH4" s="29"/>
      <c r="EI4" s="29"/>
      <c r="EJ4" s="29"/>
      <c r="EK4" s="29"/>
      <c r="EL4" s="24"/>
      <c r="EM4" s="24"/>
      <c r="EN4" s="24" t="s">
        <v>74</v>
      </c>
      <c r="EO4" s="24"/>
      <c r="EP4" s="24"/>
      <c r="EQ4" s="24">
        <v>3.26</v>
      </c>
      <c r="ER4" s="24" t="s">
        <v>75</v>
      </c>
      <c r="ES4" s="24"/>
    </row>
    <row r="5" spans="1:149" ht="18.75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 t="s">
        <v>38</v>
      </c>
      <c r="BC5" s="24"/>
      <c r="BD5" s="27"/>
      <c r="BE5" s="28">
        <v>1.752</v>
      </c>
      <c r="BF5" s="24" t="s">
        <v>39</v>
      </c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 t="s">
        <v>76</v>
      </c>
      <c r="EO5" s="24"/>
      <c r="EP5" s="24"/>
      <c r="EQ5" s="24"/>
      <c r="ER5" s="30">
        <v>2</v>
      </c>
      <c r="ES5" s="24" t="s">
        <v>77</v>
      </c>
    </row>
    <row r="6" spans="1:149" x14ac:dyDescent="0.25">
      <c r="A6" s="24"/>
      <c r="B6" s="24"/>
      <c r="C6" s="24"/>
      <c r="D6" s="24"/>
      <c r="E6" s="24"/>
      <c r="F6" s="24"/>
      <c r="G6" s="42" t="s">
        <v>6</v>
      </c>
      <c r="H6" s="42"/>
      <c r="I6" s="42"/>
      <c r="J6" s="42"/>
      <c r="K6" s="42"/>
      <c r="L6" s="42"/>
      <c r="M6" s="24"/>
      <c r="N6" s="43" t="s">
        <v>7</v>
      </c>
      <c r="O6" s="43"/>
      <c r="P6" s="43"/>
      <c r="Q6" s="43"/>
      <c r="R6" s="43"/>
      <c r="S6" s="43"/>
      <c r="T6" s="43"/>
      <c r="U6" s="43"/>
      <c r="V6" s="24"/>
      <c r="W6" s="24"/>
      <c r="X6" s="24"/>
      <c r="Y6" s="24"/>
      <c r="Z6" s="24"/>
      <c r="AA6" s="43" t="s">
        <v>43</v>
      </c>
      <c r="AB6" s="43"/>
      <c r="AC6" s="43"/>
      <c r="AD6" s="32"/>
      <c r="AE6" s="32"/>
      <c r="AF6" s="32"/>
      <c r="AG6" s="32"/>
      <c r="AH6" s="32"/>
      <c r="AI6" s="24"/>
      <c r="AJ6" s="24"/>
      <c r="AK6" s="24"/>
      <c r="AL6" s="31" t="s">
        <v>8</v>
      </c>
      <c r="AM6" s="24"/>
      <c r="AN6" s="43" t="s">
        <v>46</v>
      </c>
      <c r="AO6" s="43"/>
      <c r="AP6" s="43"/>
      <c r="AQ6" s="43"/>
      <c r="AR6" s="43"/>
      <c r="AS6" s="32"/>
      <c r="AT6" s="32" t="s">
        <v>100</v>
      </c>
      <c r="AU6" s="24"/>
      <c r="AV6" s="33" t="s">
        <v>9</v>
      </c>
      <c r="AW6" s="24"/>
      <c r="AX6" s="24"/>
      <c r="AY6" s="24"/>
      <c r="AZ6" s="24"/>
      <c r="BA6" s="24"/>
      <c r="BB6" s="24" t="s">
        <v>53</v>
      </c>
      <c r="BC6" s="24"/>
      <c r="BD6" s="26">
        <f>LN(BF6)</f>
        <v>1.4586150226995167</v>
      </c>
      <c r="BE6" s="24"/>
      <c r="BF6" s="24">
        <v>4.3</v>
      </c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31" t="s">
        <v>64</v>
      </c>
      <c r="EA6" s="24"/>
      <c r="EB6" s="31" t="s">
        <v>66</v>
      </c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31" t="s">
        <v>80</v>
      </c>
    </row>
    <row r="7" spans="1:149" ht="23.1" customHeigh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44" t="s">
        <v>94</v>
      </c>
      <c r="AK7" s="44"/>
      <c r="AL7" s="44"/>
      <c r="AM7" s="24"/>
      <c r="AN7" s="24"/>
      <c r="AO7" s="42" t="s">
        <v>35</v>
      </c>
      <c r="AP7" s="42"/>
      <c r="AQ7" s="42" t="s">
        <v>44</v>
      </c>
      <c r="AR7" s="42"/>
      <c r="AS7" s="31"/>
      <c r="AT7" s="31" t="s">
        <v>101</v>
      </c>
      <c r="AU7" s="24"/>
      <c r="AV7" s="24"/>
      <c r="AW7" s="24"/>
      <c r="AX7" s="24"/>
      <c r="AY7" s="33"/>
      <c r="AZ7" s="33"/>
      <c r="BA7" s="33"/>
      <c r="BB7" s="33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9" t="s">
        <v>88</v>
      </c>
      <c r="ER7" s="24"/>
      <c r="ES7" s="24"/>
    </row>
    <row r="8" spans="1:149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32"/>
      <c r="W8" s="32"/>
      <c r="X8" s="32"/>
      <c r="Y8" s="32"/>
      <c r="Z8" s="32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 t="s">
        <v>30</v>
      </c>
      <c r="AP8" s="24" t="s">
        <v>31</v>
      </c>
      <c r="AQ8" s="24" t="s">
        <v>30</v>
      </c>
      <c r="AR8" s="24" t="s">
        <v>31</v>
      </c>
      <c r="AS8" s="24"/>
      <c r="AT8" s="24"/>
      <c r="AU8" s="24"/>
      <c r="AV8" s="24"/>
      <c r="AW8" s="24"/>
      <c r="AX8" s="24"/>
      <c r="AY8" s="24"/>
      <c r="AZ8" s="43" t="s">
        <v>48</v>
      </c>
      <c r="BA8" s="43"/>
      <c r="BB8" s="43"/>
      <c r="BC8" s="24"/>
      <c r="BD8" s="24"/>
      <c r="BE8" s="24">
        <v>1990</v>
      </c>
      <c r="BF8" s="24">
        <v>1991</v>
      </c>
      <c r="BG8" s="24">
        <v>1992</v>
      </c>
      <c r="BH8" s="24">
        <v>1993</v>
      </c>
      <c r="BI8" s="24">
        <v>1994</v>
      </c>
      <c r="BJ8" s="24">
        <v>1995</v>
      </c>
      <c r="BK8" s="24">
        <v>1996</v>
      </c>
      <c r="BL8" s="24">
        <v>1997</v>
      </c>
      <c r="BM8" s="24">
        <v>1998</v>
      </c>
      <c r="BN8" s="24">
        <v>1999</v>
      </c>
      <c r="BO8" s="24">
        <v>2000</v>
      </c>
      <c r="BP8" s="24">
        <v>2001</v>
      </c>
      <c r="BQ8" s="24">
        <v>2002</v>
      </c>
      <c r="BR8" s="24">
        <v>2003</v>
      </c>
      <c r="BS8" s="24">
        <v>2004</v>
      </c>
      <c r="BT8" s="24">
        <v>2005</v>
      </c>
      <c r="BU8" s="24">
        <v>2006</v>
      </c>
      <c r="BV8" s="24">
        <v>2007</v>
      </c>
      <c r="BW8" s="24">
        <v>2008</v>
      </c>
      <c r="BX8" s="24">
        <v>2009</v>
      </c>
      <c r="BY8" s="24">
        <v>2010</v>
      </c>
      <c r="BZ8" s="24">
        <v>2011</v>
      </c>
      <c r="CA8" s="24">
        <v>2012</v>
      </c>
      <c r="CB8" s="24">
        <v>2013</v>
      </c>
      <c r="CC8" s="24">
        <v>2014</v>
      </c>
      <c r="CD8" s="24">
        <v>2015</v>
      </c>
      <c r="CE8" s="24">
        <v>2016</v>
      </c>
      <c r="CF8" s="24">
        <v>2017</v>
      </c>
      <c r="CG8" s="24">
        <v>2018</v>
      </c>
      <c r="CH8" s="24">
        <v>2019</v>
      </c>
      <c r="CI8" s="24">
        <v>2020</v>
      </c>
      <c r="CJ8" s="24">
        <v>2021</v>
      </c>
      <c r="CK8" s="24">
        <v>2022</v>
      </c>
      <c r="CL8" s="24">
        <v>2023</v>
      </c>
      <c r="CM8" s="24">
        <v>2024</v>
      </c>
      <c r="CN8" s="24">
        <v>2025</v>
      </c>
      <c r="CO8" s="24">
        <v>2026</v>
      </c>
      <c r="CP8" s="24">
        <v>2027</v>
      </c>
      <c r="CQ8" s="24">
        <v>2028</v>
      </c>
      <c r="CR8" s="24">
        <v>2029</v>
      </c>
      <c r="CS8" s="24">
        <v>2030</v>
      </c>
      <c r="CT8" s="24">
        <v>2031</v>
      </c>
      <c r="CU8" s="24">
        <v>2032</v>
      </c>
      <c r="CV8" s="24">
        <v>2033</v>
      </c>
      <c r="CW8" s="24">
        <v>2034</v>
      </c>
      <c r="CX8" s="24">
        <v>2035</v>
      </c>
      <c r="CY8" s="24">
        <v>2036</v>
      </c>
      <c r="CZ8" s="24">
        <v>2037</v>
      </c>
      <c r="DA8" s="24">
        <v>2038</v>
      </c>
      <c r="DB8" s="24">
        <v>2039</v>
      </c>
      <c r="DC8" s="24">
        <v>2040</v>
      </c>
      <c r="DD8" s="24">
        <v>2041</v>
      </c>
      <c r="DE8" s="24">
        <v>2042</v>
      </c>
      <c r="DF8" s="24">
        <v>2043</v>
      </c>
      <c r="DG8" s="24">
        <v>2044</v>
      </c>
      <c r="DH8" s="24">
        <v>2045</v>
      </c>
      <c r="DI8" s="24">
        <v>2046</v>
      </c>
      <c r="DJ8" s="24">
        <v>2047</v>
      </c>
      <c r="DK8" s="24">
        <v>2048</v>
      </c>
      <c r="DL8" s="24">
        <v>2049</v>
      </c>
      <c r="DM8" s="24">
        <v>2050</v>
      </c>
      <c r="DN8" s="24">
        <v>2051</v>
      </c>
      <c r="DO8" s="24">
        <v>2052</v>
      </c>
      <c r="DP8" s="24">
        <v>2053</v>
      </c>
      <c r="DQ8" s="24">
        <v>2054</v>
      </c>
      <c r="DR8" s="24">
        <v>2055</v>
      </c>
      <c r="DS8" s="24">
        <v>2056</v>
      </c>
      <c r="DT8" s="24">
        <v>2057</v>
      </c>
      <c r="DU8" s="24">
        <v>2058</v>
      </c>
      <c r="DV8" s="24">
        <v>2059</v>
      </c>
      <c r="DW8" s="24">
        <v>2060</v>
      </c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</row>
    <row r="9" spans="1:149" ht="63" x14ac:dyDescent="0.25">
      <c r="A9" s="24"/>
      <c r="B9" s="34" t="s">
        <v>0</v>
      </c>
      <c r="C9" s="34" t="s">
        <v>3</v>
      </c>
      <c r="D9" s="35" t="s">
        <v>11</v>
      </c>
      <c r="E9" s="35" t="s">
        <v>18</v>
      </c>
      <c r="F9" s="35" t="s">
        <v>45</v>
      </c>
      <c r="G9" s="35" t="s">
        <v>16</v>
      </c>
      <c r="H9" s="35" t="s">
        <v>12</v>
      </c>
      <c r="I9" s="35" t="s">
        <v>13</v>
      </c>
      <c r="J9" s="35" t="s">
        <v>14</v>
      </c>
      <c r="K9" s="35" t="s">
        <v>15</v>
      </c>
      <c r="L9" s="31" t="s">
        <v>61</v>
      </c>
      <c r="M9" s="24"/>
      <c r="N9" s="35" t="s">
        <v>17</v>
      </c>
      <c r="O9" s="35" t="s">
        <v>57</v>
      </c>
      <c r="P9" s="35" t="s">
        <v>19</v>
      </c>
      <c r="Q9" s="35" t="s">
        <v>15</v>
      </c>
      <c r="R9" s="35" t="s">
        <v>62</v>
      </c>
      <c r="S9" s="35" t="s">
        <v>59</v>
      </c>
      <c r="T9" s="35" t="s">
        <v>55</v>
      </c>
      <c r="U9" s="31" t="s">
        <v>60</v>
      </c>
      <c r="V9" s="24"/>
      <c r="W9" s="36" t="s">
        <v>63</v>
      </c>
      <c r="X9" s="24"/>
      <c r="Y9" s="24"/>
      <c r="Z9" s="35" t="s">
        <v>95</v>
      </c>
      <c r="AA9" s="37" t="s">
        <v>29</v>
      </c>
      <c r="AB9" s="35" t="s">
        <v>28</v>
      </c>
      <c r="AC9" s="31" t="s">
        <v>20</v>
      </c>
      <c r="AD9" s="31"/>
      <c r="AE9" s="31"/>
      <c r="AF9" s="31"/>
      <c r="AG9" s="31"/>
      <c r="AH9" s="36" t="s">
        <v>93</v>
      </c>
      <c r="AI9" s="24"/>
      <c r="AJ9" s="35" t="s">
        <v>85</v>
      </c>
      <c r="AK9" s="35" t="s">
        <v>86</v>
      </c>
      <c r="AL9" s="31" t="s">
        <v>20</v>
      </c>
      <c r="AM9" s="24"/>
      <c r="AN9" s="35" t="s">
        <v>97</v>
      </c>
      <c r="AO9" s="24"/>
      <c r="AP9" s="26">
        <f>(AP1/AP2)*AP3*D10*Q10</f>
        <v>4816.4255844448053</v>
      </c>
      <c r="AQ9" s="24"/>
      <c r="AR9" s="26">
        <f>AP9*P10*0.85/1000</f>
        <v>361087.42606582702</v>
      </c>
      <c r="AS9" s="26"/>
      <c r="AT9" s="26"/>
      <c r="AU9" s="24"/>
      <c r="AV9" s="34" t="s">
        <v>47</v>
      </c>
      <c r="AW9" s="35" t="s">
        <v>21</v>
      </c>
      <c r="AX9" s="35" t="s">
        <v>84</v>
      </c>
      <c r="AY9" s="35" t="s">
        <v>27</v>
      </c>
      <c r="AZ9" s="35" t="s">
        <v>40</v>
      </c>
      <c r="BA9" s="35" t="s">
        <v>41</v>
      </c>
      <c r="BB9" s="35" t="s">
        <v>42</v>
      </c>
      <c r="BC9" s="24"/>
      <c r="BD9" s="38" t="s">
        <v>26</v>
      </c>
      <c r="BE9" s="26" cm="1">
        <f t="array" ref="BE9:DW9">TRANSPOSE(AW10:AW80)</f>
        <v>498.0933479169675</v>
      </c>
      <c r="BF9" s="26">
        <v>504.02722546132873</v>
      </c>
      <c r="BG9" s="26">
        <v>510.02216445798001</v>
      </c>
      <c r="BH9" s="26">
        <v>515.66815946767497</v>
      </c>
      <c r="BI9" s="26">
        <v>520.8471066790687</v>
      </c>
      <c r="BJ9" s="26">
        <v>525.90936635004368</v>
      </c>
      <c r="BK9" s="26">
        <v>530.96782665952128</v>
      </c>
      <c r="BL9" s="26">
        <v>536.32439701726503</v>
      </c>
      <c r="BM9" s="26">
        <v>541.40376979546875</v>
      </c>
      <c r="BN9" s="26">
        <v>546.69814208857122</v>
      </c>
      <c r="BO9" s="26">
        <v>549.58687992479997</v>
      </c>
      <c r="BP9" s="26">
        <v>573.6128021131201</v>
      </c>
      <c r="BQ9" s="26">
        <v>640.40142128188245</v>
      </c>
      <c r="BR9" s="26">
        <v>638.50760452194982</v>
      </c>
      <c r="BS9" s="26">
        <v>678.26440654789928</v>
      </c>
      <c r="BT9" s="26">
        <v>694.59699518924367</v>
      </c>
      <c r="BU9" s="26">
        <v>652.43790791636991</v>
      </c>
      <c r="BV9" s="26">
        <v>622.99568542386555</v>
      </c>
      <c r="BW9" s="26">
        <v>585.69065737210292</v>
      </c>
      <c r="BX9" s="26">
        <v>486.27132173570425</v>
      </c>
      <c r="BY9" s="26">
        <v>463.92099215616008</v>
      </c>
      <c r="BZ9" s="26">
        <v>468.77361186808747</v>
      </c>
      <c r="CA9" s="26">
        <v>412.26059348746486</v>
      </c>
      <c r="CB9" s="26">
        <v>409.95795618567365</v>
      </c>
      <c r="CC9" s="26">
        <v>408.96166444922886</v>
      </c>
      <c r="CD9" s="26">
        <v>408.35637513077762</v>
      </c>
      <c r="CE9" s="26">
        <v>409.4855632723968</v>
      </c>
      <c r="CF9" s="26">
        <v>425.36791024312322</v>
      </c>
      <c r="CG9" s="26">
        <v>412.52456440986623</v>
      </c>
      <c r="CH9" s="26">
        <v>382.82353238495233</v>
      </c>
      <c r="CI9" s="26">
        <v>432.8674955123098</v>
      </c>
      <c r="CJ9" s="26">
        <v>505.86378641233921</v>
      </c>
      <c r="CK9" s="26">
        <v>457.40357485295624</v>
      </c>
      <c r="CL9" s="26">
        <v>416.89195118475271</v>
      </c>
      <c r="CM9" s="26">
        <v>410.88550654734343</v>
      </c>
      <c r="CN9" s="26">
        <v>397.54487824026631</v>
      </c>
      <c r="CO9" s="26">
        <v>440.45285620991996</v>
      </c>
      <c r="CP9" s="26">
        <v>443.16019960512</v>
      </c>
      <c r="CQ9" s="26">
        <v>445.82060370240004</v>
      </c>
      <c r="CR9" s="26">
        <v>448.42899460607998</v>
      </c>
      <c r="CS9" s="26">
        <v>450.98072743488001</v>
      </c>
      <c r="CT9" s="26">
        <v>453.47181811775994</v>
      </c>
      <c r="CU9" s="26">
        <v>455.90209248768002</v>
      </c>
      <c r="CV9" s="26">
        <v>458.27229971904001</v>
      </c>
      <c r="CW9" s="26">
        <v>460.58314928639993</v>
      </c>
      <c r="CX9" s="26">
        <v>462.83567466624004</v>
      </c>
      <c r="CY9" s="26">
        <v>465.03083121600002</v>
      </c>
      <c r="CZ9" s="26">
        <v>467.17110465792001</v>
      </c>
      <c r="DA9" s="26">
        <v>469.25944942847997</v>
      </c>
      <c r="DB9" s="26">
        <v>471.29902230528</v>
      </c>
      <c r="DC9" s="26">
        <v>473.29246140672001</v>
      </c>
      <c r="DD9" s="26">
        <v>475.24320781248002</v>
      </c>
      <c r="DE9" s="26">
        <v>477.15612923520001</v>
      </c>
      <c r="DF9" s="26">
        <v>479.03664278207998</v>
      </c>
      <c r="DG9" s="26">
        <v>480.89002084800001</v>
      </c>
      <c r="DH9" s="26">
        <v>482.72163059520005</v>
      </c>
      <c r="DI9" s="26">
        <v>484.53680588928006</v>
      </c>
      <c r="DJ9" s="26">
        <v>486.34074740927997</v>
      </c>
      <c r="DK9" s="26">
        <v>488.13867376320002</v>
      </c>
      <c r="DL9" s="26">
        <v>489.93583173311998</v>
      </c>
      <c r="DM9" s="26">
        <v>491.73731442431995</v>
      </c>
      <c r="DN9" s="26">
        <v>493.54775647295997</v>
      </c>
      <c r="DO9" s="26">
        <v>495.36887777855998</v>
      </c>
      <c r="DP9" s="26">
        <v>497.20169004671999</v>
      </c>
      <c r="DQ9" s="26">
        <v>499.04727413760003</v>
      </c>
      <c r="DR9" s="26">
        <v>500.90674420800002</v>
      </c>
      <c r="DS9" s="26">
        <v>502.78128484992004</v>
      </c>
      <c r="DT9" s="26">
        <v>504.67263645312005</v>
      </c>
      <c r="DU9" s="26">
        <v>506.58260215871996</v>
      </c>
      <c r="DV9" s="26">
        <v>508.51322971008</v>
      </c>
      <c r="DW9" s="26">
        <v>510.46634017728007</v>
      </c>
      <c r="DX9" s="24"/>
      <c r="DY9" s="24"/>
      <c r="DZ9" s="35" t="s">
        <v>65</v>
      </c>
      <c r="EA9" s="24"/>
      <c r="EB9" s="35" t="s">
        <v>67</v>
      </c>
      <c r="EC9" s="24"/>
      <c r="ED9" s="24"/>
      <c r="EE9" s="24"/>
      <c r="EF9" s="34" t="s">
        <v>81</v>
      </c>
      <c r="EG9" s="35" t="s">
        <v>68</v>
      </c>
      <c r="EH9" s="35" t="s">
        <v>69</v>
      </c>
      <c r="EI9" s="35" t="s">
        <v>70</v>
      </c>
      <c r="EJ9" s="35" t="s">
        <v>71</v>
      </c>
      <c r="EK9" s="35"/>
      <c r="EL9" s="24"/>
      <c r="EM9" s="24"/>
      <c r="EN9" s="35" t="s">
        <v>89</v>
      </c>
      <c r="EO9" s="35" t="s">
        <v>86</v>
      </c>
      <c r="EP9" s="35" t="s">
        <v>90</v>
      </c>
      <c r="EQ9" s="35" t="s">
        <v>91</v>
      </c>
      <c r="ER9" s="35" t="s">
        <v>87</v>
      </c>
      <c r="ES9" s="35" t="s">
        <v>92</v>
      </c>
    </row>
    <row r="10" spans="1:149" x14ac:dyDescent="0.25">
      <c r="A10" s="41" t="s">
        <v>1</v>
      </c>
      <c r="B10" s="39">
        <v>1990</v>
      </c>
      <c r="C10">
        <v>249350726</v>
      </c>
      <c r="D10" s="40">
        <f>C10/1000000</f>
        <v>249.35072600000001</v>
      </c>
      <c r="E10" s="12">
        <f>D10*$J$1</f>
        <v>815.37687402000006</v>
      </c>
      <c r="F10" s="5">
        <f>E10*K10</f>
        <v>498.0933479169675</v>
      </c>
      <c r="G10" s="13">
        <f>E10*$H$3</f>
        <v>163.07537480400003</v>
      </c>
      <c r="H10">
        <v>664</v>
      </c>
      <c r="I10" s="13">
        <f t="shared" ref="I10:I27" si="0">E10*$H$4</f>
        <v>73.383918661799996</v>
      </c>
      <c r="J10">
        <v>88200</v>
      </c>
      <c r="K10" s="13">
        <v>0.61087499999999995</v>
      </c>
      <c r="L10" s="14">
        <f>(G10*H10*K10-I10*J10*K10)/1000</f>
        <v>-3887.7181991615143</v>
      </c>
      <c r="N10" s="7">
        <f>(E10-G10+I10)/$Q$1</f>
        <v>738.98718724826881</v>
      </c>
      <c r="O10" s="5">
        <f>E10-G10</f>
        <v>652.30149921600002</v>
      </c>
      <c r="P10">
        <v>88200</v>
      </c>
      <c r="Q10" s="5">
        <v>0.61087499999999995</v>
      </c>
      <c r="R10" s="5">
        <f>N10*P10*Q10/1000</f>
        <v>39816.019984507242</v>
      </c>
      <c r="S10" s="5">
        <f>N10*Q10</f>
        <v>451.42879801028619</v>
      </c>
      <c r="T10" s="5">
        <f>O10*Q10</f>
        <v>398.47467833357399</v>
      </c>
      <c r="U10" s="6">
        <f>L10+R10+AC10-AL10</f>
        <v>35211.6134256246</v>
      </c>
      <c r="W10" s="9">
        <f>U10</f>
        <v>35211.6134256246</v>
      </c>
      <c r="AA10" s="10"/>
      <c r="AC10" s="6"/>
      <c r="AD10" s="5"/>
      <c r="AE10" s="5"/>
      <c r="AF10" s="5"/>
      <c r="AG10" s="5"/>
      <c r="AH10" s="13">
        <v>0.02</v>
      </c>
      <c r="AJ10" s="3">
        <v>1.7999999999999999E-2</v>
      </c>
      <c r="AK10">
        <f>T10*AJ10</f>
        <v>7.1725442100043315</v>
      </c>
      <c r="AL10" s="6">
        <f>R10*0.12*0.15</f>
        <v>716.68835972113027</v>
      </c>
      <c r="AO10" s="5">
        <f t="shared" ref="AO10:AO41" si="1">F10-AX10</f>
        <v>38.485117622133998</v>
      </c>
      <c r="AP10" s="5">
        <f>AO10+AP9</f>
        <v>4854.9107020669389</v>
      </c>
      <c r="AQ10" s="5">
        <f>W10-AV10-BB10</f>
        <v>746.27859687091154</v>
      </c>
      <c r="AR10" s="6">
        <f>AQ10+AR9</f>
        <v>361833.70466269791</v>
      </c>
      <c r="AS10" s="5"/>
      <c r="AT10" s="5"/>
      <c r="AV10" s="3">
        <f>AX10/AP9*AR9</f>
        <v>34456.829025203668</v>
      </c>
      <c r="AW10" s="5">
        <f t="shared" ref="AW10:AW41" si="2">E10*Q10</f>
        <v>498.0933479169675</v>
      </c>
      <c r="AX10" s="5" cm="1">
        <f t="array" ref="AX10:AX80">TRANSPOSE(BE83:DW83)</f>
        <v>459.6082302948335</v>
      </c>
      <c r="AZ10">
        <f>AP10*$BE$4/1000</f>
        <v>0</v>
      </c>
      <c r="BA10" s="5">
        <f>AP10*$BE$5/1000</f>
        <v>8.5058035500212767</v>
      </c>
      <c r="BB10" s="5">
        <f>AZ10+BA10</f>
        <v>8.5058035500212767</v>
      </c>
      <c r="BE10">
        <f t="shared" ref="BE10:CJ10" si="3">IF((BE$8-$B10)&gt;0,_xlfn.LOGNORM.DIST((BE$8-$B10+1),$BD$2,$BD$3,TRUE)-_xlfn.LOGNORM.DIST((BE$8-$B10),$BD$2,$BD$3,TRUE),_xlfn.LOGNORM.DIST((BE$8-$B10+1),$BD$2,$BD$3,TRUE))*$AW10</f>
        <v>6.0581974828477385</v>
      </c>
      <c r="BF10">
        <f t="shared" si="3"/>
        <v>25.540448606660746</v>
      </c>
      <c r="BG10">
        <f t="shared" si="3"/>
        <v>35.738958329564703</v>
      </c>
      <c r="BH10">
        <f t="shared" si="3"/>
        <v>38.026357181088883</v>
      </c>
      <c r="BI10">
        <f t="shared" si="3"/>
        <v>36.673251551127876</v>
      </c>
      <c r="BJ10">
        <f t="shared" si="3"/>
        <v>33.876573699637909</v>
      </c>
      <c r="BK10">
        <f t="shared" si="3"/>
        <v>30.65224997003736</v>
      </c>
      <c r="BL10">
        <f t="shared" si="3"/>
        <v>27.455003042031596</v>
      </c>
      <c r="BM10">
        <f t="shared" si="3"/>
        <v>24.476534638412748</v>
      </c>
      <c r="BN10">
        <f t="shared" si="3"/>
        <v>21.784835872974703</v>
      </c>
      <c r="BO10">
        <f t="shared" si="3"/>
        <v>19.390216279186895</v>
      </c>
      <c r="BP10">
        <f t="shared" si="3"/>
        <v>17.277156629776258</v>
      </c>
      <c r="BQ10">
        <f t="shared" si="3"/>
        <v>15.419823247439643</v>
      </c>
      <c r="BR10">
        <f t="shared" si="3"/>
        <v>13.789585086159441</v>
      </c>
      <c r="BS10">
        <f t="shared" si="3"/>
        <v>12.358547555834782</v>
      </c>
      <c r="BT10">
        <f t="shared" si="3"/>
        <v>11.101085547881899</v>
      </c>
      <c r="BU10">
        <f t="shared" si="3"/>
        <v>9.9943755265041521</v>
      </c>
      <c r="BV10">
        <f t="shared" si="3"/>
        <v>9.0184384158228408</v>
      </c>
      <c r="BW10">
        <f t="shared" si="3"/>
        <v>8.1559569995930037</v>
      </c>
      <c r="BX10">
        <f t="shared" si="3"/>
        <v>7.3920032949433221</v>
      </c>
      <c r="BY10">
        <f t="shared" si="3"/>
        <v>6.7137442240040386</v>
      </c>
      <c r="BZ10">
        <f t="shared" si="3"/>
        <v>6.1101585612552336</v>
      </c>
      <c r="CA10">
        <f t="shared" si="3"/>
        <v>5.5717795734783033</v>
      </c>
      <c r="CB10">
        <f t="shared" si="3"/>
        <v>5.0904681619097678</v>
      </c>
      <c r="CC10">
        <f t="shared" si="3"/>
        <v>4.6592165084880603</v>
      </c>
      <c r="CD10">
        <f t="shared" si="3"/>
        <v>4.2719799881878862</v>
      </c>
      <c r="CE10">
        <f t="shared" si="3"/>
        <v>3.9235342277007024</v>
      </c>
      <c r="CF10">
        <f t="shared" si="3"/>
        <v>3.6093540086451741</v>
      </c>
      <c r="CG10">
        <f t="shared" si="3"/>
        <v>3.3255108731170666</v>
      </c>
      <c r="CH10">
        <f t="shared" si="3"/>
        <v>3.0685865978708962</v>
      </c>
      <c r="CI10">
        <f t="shared" si="3"/>
        <v>2.8356000590526009</v>
      </c>
      <c r="CJ10">
        <f t="shared" si="3"/>
        <v>2.6239453606399397</v>
      </c>
      <c r="CK10">
        <f t="shared" ref="CK10:DP10" si="4">IF((CK$8-$B10)&gt;0,_xlfn.LOGNORM.DIST((CK$8-$B10+1),$BD$2,$BD$3,TRUE)-_xlfn.LOGNORM.DIST((CK$8-$B10),$BD$2,$BD$3,TRUE),_xlfn.LOGNORM.DIST((CK$8-$B10+1),$BD$2,$BD$3,TRUE))*$AW10</f>
        <v>2.4313394225750748</v>
      </c>
      <c r="CL10">
        <f t="shared" si="4"/>
        <v>2.2557775097134689</v>
      </c>
      <c r="CM10">
        <f t="shared" si="4"/>
        <v>2.0954954286366938</v>
      </c>
      <c r="CN10">
        <f t="shared" si="4"/>
        <v>1.9489373282995059</v>
      </c>
      <c r="CO10">
        <f t="shared" si="4"/>
        <v>1.8147282162666396</v>
      </c>
      <c r="CP10">
        <f t="shared" si="4"/>
        <v>1.6916504492981497</v>
      </c>
      <c r="CQ10">
        <f t="shared" si="4"/>
        <v>1.5786235794821135</v>
      </c>
      <c r="CR10">
        <f t="shared" si="4"/>
        <v>1.474687038901257</v>
      </c>
      <c r="CS10">
        <f t="shared" si="4"/>
        <v>1.3789852303184269</v>
      </c>
      <c r="CT10">
        <f t="shared" si="4"/>
        <v>1.2907546615205174</v>
      </c>
      <c r="CU10">
        <f t="shared" si="4"/>
        <v>1.2093128192148994</v>
      </c>
      <c r="CV10">
        <f t="shared" si="4"/>
        <v>1.1340485267961173</v>
      </c>
      <c r="CW10">
        <f t="shared" si="4"/>
        <v>1.0644135705915758</v>
      </c>
      <c r="CX10">
        <f t="shared" si="4"/>
        <v>0.99991541278019702</v>
      </c>
      <c r="CY10">
        <f t="shared" si="4"/>
        <v>0.94011083720235855</v>
      </c>
      <c r="CZ10">
        <f t="shared" si="4"/>
        <v>0.88460039772175436</v>
      </c>
      <c r="DA10">
        <f t="shared" si="4"/>
        <v>0.83302355843655052</v>
      </c>
      <c r="DB10">
        <f t="shared" si="4"/>
        <v>0.78505443151617527</v>
      </c>
      <c r="DC10">
        <f t="shared" si="4"/>
        <v>0.74039803230520695</v>
      </c>
      <c r="DD10">
        <f t="shared" si="4"/>
        <v>0.69878698301839015</v>
      </c>
      <c r="DE10">
        <f t="shared" si="4"/>
        <v>0.65997860621253046</v>
      </c>
      <c r="DF10">
        <f t="shared" si="4"/>
        <v>0.62375235757240033</v>
      </c>
      <c r="DG10">
        <f t="shared" si="4"/>
        <v>0.58990755462152955</v>
      </c>
      <c r="DH10">
        <f t="shared" si="4"/>
        <v>0.55826136398345749</v>
      </c>
      <c r="DI10">
        <f t="shared" si="4"/>
        <v>0.52864701493616006</v>
      </c>
      <c r="DJ10">
        <f t="shared" si="4"/>
        <v>0.50091221136615571</v>
      </c>
      <c r="DK10">
        <f t="shared" si="4"/>
        <v>0.47491771796327914</v>
      </c>
      <c r="DL10">
        <f t="shared" si="4"/>
        <v>0.45053609968529224</v>
      </c>
      <c r="DM10">
        <f t="shared" si="4"/>
        <v>0.42765059626617902</v>
      </c>
      <c r="DN10">
        <f t="shared" si="4"/>
        <v>0.40615411589319594</v>
      </c>
      <c r="DO10">
        <f t="shared" si="4"/>
        <v>0.38594833420673985</v>
      </c>
      <c r="DP10">
        <f t="shared" si="4"/>
        <v>0.36694288652384233</v>
      </c>
      <c r="DQ10">
        <f t="shared" ref="DQ10:DW10" si="5">IF((DQ$8-$B10)&gt;0,_xlfn.LOGNORM.DIST((DQ$8-$B10+1),$BD$2,$BD$3,TRUE)-_xlfn.LOGNORM.DIST((DQ$8-$B10),$BD$2,$BD$3,TRUE),_xlfn.LOGNORM.DIST((DQ$8-$B10+1),$BD$2,$BD$3,TRUE))*$AW10</f>
        <v>0.34905464269770808</v>
      </c>
      <c r="DR10">
        <f t="shared" si="5"/>
        <v>0.33220705533227779</v>
      </c>
      <c r="DS10">
        <f t="shared" si="5"/>
        <v>0.31632957320470945</v>
      </c>
      <c r="DT10">
        <f t="shared" si="5"/>
        <v>0.30135711273156612</v>
      </c>
      <c r="DU10">
        <f t="shared" si="5"/>
        <v>0.28722958117175074</v>
      </c>
      <c r="DV10">
        <f t="shared" si="5"/>
        <v>0.27389144600477477</v>
      </c>
      <c r="DW10" s="4">
        <f t="shared" si="5"/>
        <v>0.26129134557067174</v>
      </c>
      <c r="DZ10" s="8">
        <f>AV10*AH10</f>
        <v>689.13658050407332</v>
      </c>
      <c r="EB10" s="3">
        <f>R10*$ED$1</f>
        <v>5972.4029976760858</v>
      </c>
      <c r="EF10" s="7">
        <f>AL10+AV10</f>
        <v>35173.517384924795</v>
      </c>
      <c r="EG10" s="5">
        <f>1-AA10-AH10</f>
        <v>0.98</v>
      </c>
      <c r="EH10">
        <f>EF10*EG10</f>
        <v>34470.047037226301</v>
      </c>
      <c r="EI10" s="4">
        <f>SUM($EH$10:EH10)</f>
        <v>34470.047037226301</v>
      </c>
      <c r="EJ10" s="4">
        <f>EI10/1000</f>
        <v>34.470047037226301</v>
      </c>
      <c r="EN10" s="3">
        <f>AX10*EG10</f>
        <v>450.41606568893684</v>
      </c>
      <c r="EO10">
        <v>7.5227411028268794</v>
      </c>
      <c r="EP10">
        <f>EN10+EO10</f>
        <v>457.93880679176374</v>
      </c>
      <c r="EQ10">
        <f>SUM($EP$10:EP10)</f>
        <v>457.93880679176374</v>
      </c>
      <c r="ER10">
        <f>EQ10*23.9*1000</f>
        <v>10944737.482323153</v>
      </c>
      <c r="ES10" s="4">
        <f>ER10*$EQ$4/140*365/1000000*0.035*$ER$5</f>
        <v>6.5115715651081603</v>
      </c>
    </row>
    <row r="11" spans="1:149" x14ac:dyDescent="0.25">
      <c r="A11" s="41"/>
      <c r="B11" s="39">
        <v>1991</v>
      </c>
      <c r="C11">
        <v>252321287</v>
      </c>
      <c r="D11" s="40">
        <f t="shared" ref="D11:D74" si="6">C11/1000000</f>
        <v>252.32128700000001</v>
      </c>
      <c r="E11" s="12">
        <f t="shared" ref="E11:E21" si="7">D11*$J$1</f>
        <v>825.09060849000002</v>
      </c>
      <c r="F11" s="5">
        <f t="shared" ref="F11:F74" si="8">E11*K11</f>
        <v>504.02722546132873</v>
      </c>
      <c r="G11" s="13">
        <f t="shared" ref="G11:G27" si="9">E11*$H$3</f>
        <v>165.01812169800002</v>
      </c>
      <c r="H11">
        <v>664</v>
      </c>
      <c r="I11" s="13">
        <f t="shared" si="0"/>
        <v>74.258154764099999</v>
      </c>
      <c r="J11">
        <v>88200</v>
      </c>
      <c r="K11" s="13">
        <v>0.61087499999999995</v>
      </c>
      <c r="L11" s="14">
        <f t="shared" ref="L11:L74" si="10">(G11*H11*K11-I11*J11*K11)/1000</f>
        <v>-3934.0333001707631</v>
      </c>
      <c r="N11" s="7">
        <f t="shared" ref="N11:N74" si="11">(E11-G11+I11)/$Q$1</f>
        <v>747.79087734837083</v>
      </c>
      <c r="O11" s="5">
        <f t="shared" ref="O11:O74" si="12">E11-G11</f>
        <v>660.07248679200006</v>
      </c>
      <c r="P11">
        <v>88200</v>
      </c>
      <c r="Q11" s="5">
        <v>0.61087499999999995</v>
      </c>
      <c r="R11" s="5">
        <f t="shared" ref="R11:R74" si="13">N11*P11*Q11/1000</f>
        <v>40290.355544056409</v>
      </c>
      <c r="S11" s="5">
        <f t="shared" ref="S11:S74" si="14">N11*Q11</f>
        <v>456.806752200186</v>
      </c>
      <c r="T11" s="5">
        <f t="shared" ref="T11:T74" si="15">O11*Q11</f>
        <v>403.22178036906303</v>
      </c>
      <c r="U11" s="6">
        <f t="shared" ref="U11:U74" si="16">L11+R11+AC11-AL11</f>
        <v>36251.318766546297</v>
      </c>
      <c r="W11" s="9">
        <f t="shared" ref="W11:W74" si="17">U11</f>
        <v>36251.318766546297</v>
      </c>
      <c r="AA11" s="10">
        <v>0.05</v>
      </c>
      <c r="AB11">
        <v>0.36</v>
      </c>
      <c r="AC11" s="6">
        <f>AV10*AA11*AB11</f>
        <v>620.222922453666</v>
      </c>
      <c r="AD11" s="5"/>
      <c r="AE11" s="5"/>
      <c r="AF11" s="5"/>
      <c r="AG11" s="5"/>
      <c r="AH11" s="13">
        <v>0.02</v>
      </c>
      <c r="AJ11" s="3">
        <v>1.7999999999999999E-2</v>
      </c>
      <c r="AK11">
        <f t="shared" ref="AK11:AK74" si="18">T11*AJ11</f>
        <v>7.2579920466431336</v>
      </c>
      <c r="AL11" s="6">
        <f t="shared" ref="AL11:AL74" si="19">R11*0.12*0.15</f>
        <v>725.22639979301539</v>
      </c>
      <c r="AO11" s="5">
        <f t="shared" si="1"/>
        <v>56.654533280800422</v>
      </c>
      <c r="AP11" s="5">
        <f t="shared" ref="AP11:AP74" si="20">AO11+AP10</f>
        <v>4911.565235347739</v>
      </c>
      <c r="AQ11" s="5">
        <f t="shared" ref="AQ11:AQ41" si="21">W11-AV11-BB11</f>
        <v>2900.2840468580898</v>
      </c>
      <c r="AR11" s="6">
        <f t="shared" ref="AR11:AR41" si="22">AQ11+AR10</f>
        <v>364733.988709556</v>
      </c>
      <c r="AS11" s="5"/>
      <c r="AT11" s="5"/>
      <c r="AV11" s="3">
        <f t="shared" ref="AV11:AV15" si="23">AX11/AP10*AR10</f>
        <v>33342.429657395878</v>
      </c>
      <c r="AW11" s="5">
        <f t="shared" si="2"/>
        <v>504.02722546132873</v>
      </c>
      <c r="AX11" s="5">
        <v>447.3726921805283</v>
      </c>
      <c r="AZ11">
        <f t="shared" ref="AZ11:AZ74" si="24">AP11*$BE$4/1000</f>
        <v>0</v>
      </c>
      <c r="BA11" s="5">
        <f t="shared" ref="BA11:BA74" si="25">AP11*$BE$5/1000</f>
        <v>8.6050622923292401</v>
      </c>
      <c r="BB11" s="5">
        <f t="shared" ref="BB11:BB74" si="26">AZ11+BA11</f>
        <v>8.6050622923292401</v>
      </c>
      <c r="BF11">
        <f t="shared" ref="BF11:CK11" si="27">IF((BF$8-$B11)&gt;0,_xlfn.LOGNORM.DIST((BF$8-$B11+1),$BD$2,$BD$3,TRUE)-_xlfn.LOGNORM.DIST((BF$8-$B11),$BD$2,$BD$3,TRUE),_xlfn.LOGNORM.DIST((BF$8-$B11+1),$BD$2,$BD$3,TRUE))*$AW11</f>
        <v>6.1303699022408367</v>
      </c>
      <c r="BG11">
        <f t="shared" si="27"/>
        <v>25.844716662224581</v>
      </c>
      <c r="BH11">
        <f t="shared" si="27"/>
        <v>36.164723104736964</v>
      </c>
      <c r="BI11">
        <f t="shared" si="27"/>
        <v>38.479372158932634</v>
      </c>
      <c r="BJ11">
        <f t="shared" si="27"/>
        <v>37.110146733061171</v>
      </c>
      <c r="BK11">
        <f t="shared" si="27"/>
        <v>34.280151544627898</v>
      </c>
      <c r="BL11">
        <f t="shared" si="27"/>
        <v>31.017415854187398</v>
      </c>
      <c r="BM11">
        <f t="shared" si="27"/>
        <v>27.782079536252592</v>
      </c>
      <c r="BN11">
        <f t="shared" si="27"/>
        <v>24.768128091451331</v>
      </c>
      <c r="BO11">
        <f t="shared" si="27"/>
        <v>22.044362624204854</v>
      </c>
      <c r="BP11">
        <f t="shared" si="27"/>
        <v>19.621215487348483</v>
      </c>
      <c r="BQ11">
        <f t="shared" si="27"/>
        <v>17.482982570204058</v>
      </c>
      <c r="BR11">
        <f t="shared" si="27"/>
        <v>15.603522434125537</v>
      </c>
      <c r="BS11">
        <f t="shared" si="27"/>
        <v>13.95386294618511</v>
      </c>
      <c r="BT11">
        <f t="shared" si="27"/>
        <v>12.505777202906303</v>
      </c>
      <c r="BU11">
        <f t="shared" si="27"/>
        <v>11.233334819079937</v>
      </c>
      <c r="BV11">
        <f t="shared" si="27"/>
        <v>10.113440357935152</v>
      </c>
      <c r="BW11">
        <f t="shared" si="27"/>
        <v>9.1258767291925196</v>
      </c>
      <c r="BX11">
        <f t="shared" si="27"/>
        <v>8.2531204134290945</v>
      </c>
      <c r="BY11">
        <f t="shared" si="27"/>
        <v>7.4800655879716169</v>
      </c>
      <c r="BZ11">
        <f t="shared" si="27"/>
        <v>6.793726292136463</v>
      </c>
      <c r="CA11">
        <f t="shared" si="27"/>
        <v>6.1829500025196991</v>
      </c>
      <c r="CB11">
        <f t="shared" si="27"/>
        <v>5.6381572069710213</v>
      </c>
      <c r="CC11">
        <f t="shared" si="27"/>
        <v>5.1511118441483781</v>
      </c>
      <c r="CD11">
        <f t="shared" si="27"/>
        <v>4.7147226105664259</v>
      </c>
      <c r="CE11">
        <f t="shared" si="27"/>
        <v>4.3228728704716595</v>
      </c>
      <c r="CF11">
        <f t="shared" si="27"/>
        <v>3.9702760116366864</v>
      </c>
      <c r="CG11">
        <f t="shared" si="27"/>
        <v>3.6523529059223971</v>
      </c>
      <c r="CH11">
        <f t="shared" si="27"/>
        <v>3.3651282949839572</v>
      </c>
      <c r="CI11">
        <f t="shared" si="27"/>
        <v>3.1051432336544948</v>
      </c>
      <c r="CJ11">
        <f t="shared" si="27"/>
        <v>2.8693810834038969</v>
      </c>
      <c r="CK11">
        <f t="shared" si="27"/>
        <v>2.6552049036919532</v>
      </c>
      <c r="CL11">
        <f t="shared" ref="CL11:DQ11" si="28">IF((CL$8-$B11)&gt;0,_xlfn.LOGNORM.DIST((CL$8-$B11+1),$BD$2,$BD$3,TRUE)-_xlfn.LOGNORM.DIST((CL$8-$B11),$BD$2,$BD$3,TRUE),_xlfn.LOGNORM.DIST((CL$8-$B11+1),$BD$2,$BD$3,TRUE))*$AW11</f>
        <v>2.4603044157087384</v>
      </c>
      <c r="CM11">
        <f t="shared" si="28"/>
        <v>2.2826510015317036</v>
      </c>
      <c r="CN11">
        <f t="shared" si="28"/>
        <v>2.1204594505821781</v>
      </c>
      <c r="CO11">
        <f t="shared" si="28"/>
        <v>1.9721553766756341</v>
      </c>
      <c r="CP11">
        <f t="shared" si="28"/>
        <v>1.8363474068393641</v>
      </c>
      <c r="CQ11">
        <f t="shared" si="28"/>
        <v>1.7118033918258468</v>
      </c>
      <c r="CR11">
        <f t="shared" si="28"/>
        <v>1.5974300121487262</v>
      </c>
      <c r="CS11">
        <f t="shared" si="28"/>
        <v>1.4922552564686906</v>
      </c>
      <c r="CT11">
        <f t="shared" si="28"/>
        <v>1.3954133346615438</v>
      </c>
      <c r="CU11">
        <f t="shared" si="28"/>
        <v>1.3061316588912049</v>
      </c>
      <c r="CV11">
        <f t="shared" si="28"/>
        <v>1.2237195849588252</v>
      </c>
      <c r="CW11">
        <f t="shared" si="28"/>
        <v>1.1475586551997858</v>
      </c>
      <c r="CX11">
        <f t="shared" si="28"/>
        <v>1.0770941249713135</v>
      </c>
      <c r="CY11">
        <f t="shared" si="28"/>
        <v>1.0118275887587973</v>
      </c>
      <c r="CZ11">
        <f t="shared" si="28"/>
        <v>0.95131055028709477</v>
      </c>
      <c r="DA11">
        <f t="shared" si="28"/>
        <v>0.89513880474470697</v>
      </c>
      <c r="DB11">
        <f t="shared" si="28"/>
        <v>0.84294752109937765</v>
      </c>
      <c r="DC11">
        <f t="shared" si="28"/>
        <v>0.79440692915894973</v>
      </c>
      <c r="DD11">
        <f t="shared" si="28"/>
        <v>0.74921853006161843</v>
      </c>
      <c r="DE11">
        <f t="shared" si="28"/>
        <v>0.70711176070146009</v>
      </c>
      <c r="DF11">
        <f t="shared" si="28"/>
        <v>0.66784105257432413</v>
      </c>
      <c r="DG11">
        <f t="shared" si="28"/>
        <v>0.63118323398004561</v>
      </c>
      <c r="DH11">
        <f t="shared" si="28"/>
        <v>0.59693523167495055</v>
      </c>
      <c r="DI11">
        <f t="shared" si="28"/>
        <v>0.56491203415498148</v>
      </c>
      <c r="DJ11">
        <f t="shared" si="28"/>
        <v>0.53494488392786999</v>
      </c>
      <c r="DK11">
        <f t="shared" si="28"/>
        <v>0.50687967054856065</v>
      </c>
      <c r="DL11">
        <f t="shared" si="28"/>
        <v>0.4805754999710633</v>
      </c>
      <c r="DM11">
        <f t="shared" si="28"/>
        <v>0.45590341899607389</v>
      </c>
      <c r="DN11">
        <f t="shared" si="28"/>
        <v>0.43274527637108096</v>
      </c>
      <c r="DO11">
        <f t="shared" si="28"/>
        <v>0.41099270447890474</v>
      </c>
      <c r="DP11">
        <f t="shared" si="28"/>
        <v>0.39054620760378583</v>
      </c>
      <c r="DQ11">
        <f t="shared" si="28"/>
        <v>0.37131434453168927</v>
      </c>
      <c r="DR11">
        <f t="shared" ref="DR11:DW11" si="29">IF((DR$8-$B11)&gt;0,_xlfn.LOGNORM.DIST((DR$8-$B11+1),$BD$2,$BD$3,TRUE)-_xlfn.LOGNORM.DIST((DR$8-$B11),$BD$2,$BD$3,TRUE),_xlfn.LOGNORM.DIST((DR$8-$B11+1),$BD$2,$BD$3,TRUE))*$AW11</f>
        <v>0.35321299477111145</v>
      </c>
      <c r="DS11">
        <f t="shared" si="29"/>
        <v>0.33616469900280355</v>
      </c>
      <c r="DT11">
        <f t="shared" si="29"/>
        <v>0.3200980655142468</v>
      </c>
      <c r="DU11">
        <f t="shared" si="29"/>
        <v>0.30494723536932011</v>
      </c>
      <c r="DV11">
        <f t="shared" si="29"/>
        <v>0.29065139993106381</v>
      </c>
      <c r="DW11" s="4">
        <f t="shared" si="29"/>
        <v>0.27715436510987251</v>
      </c>
      <c r="DZ11" s="8">
        <f t="shared" ref="DZ11:DZ74" si="30">AV11*AH11</f>
        <v>666.84859314791754</v>
      </c>
      <c r="EB11" s="3">
        <f t="shared" ref="EB11:EB74" si="31">R11*$ED$1</f>
        <v>6043.5533316084611</v>
      </c>
      <c r="EF11" s="3">
        <f t="shared" ref="EF11:EF74" si="32">AL11+AV11</f>
        <v>34067.656057188891</v>
      </c>
      <c r="EG11">
        <f t="shared" ref="EG11:EG74" si="33">1-AA11-AH11</f>
        <v>0.92999999999999994</v>
      </c>
      <c r="EH11">
        <f t="shared" ref="EH11:EH74" si="34">EF11*EG11</f>
        <v>31682.920133185668</v>
      </c>
      <c r="EI11" s="4">
        <f>SUM($EH$10:EH11)</f>
        <v>66152.967170411968</v>
      </c>
      <c r="EJ11" s="4">
        <f>EI11/1000</f>
        <v>66.152967170411969</v>
      </c>
      <c r="EN11" s="3">
        <f t="shared" ref="EN11:EN74" si="35">AX11*EG11</f>
        <v>416.05660372789129</v>
      </c>
      <c r="EO11">
        <v>7.6124451955930805</v>
      </c>
      <c r="EP11">
        <f t="shared" ref="EP11:EP74" si="36">EN11+EO11</f>
        <v>423.66904892348435</v>
      </c>
      <c r="EQ11">
        <f>SUM($EP$10:EP11)</f>
        <v>881.60785571524809</v>
      </c>
      <c r="ER11">
        <f t="shared" ref="ER11:ER74" si="37">EQ11*23.9*1000</f>
        <v>21070427.751594428</v>
      </c>
      <c r="ES11" s="4">
        <f t="shared" ref="ES11:ES74" si="38">ER11*$EQ$4/140*365/1000000*0.035*$ER$5</f>
        <v>12.535850990811106</v>
      </c>
    </row>
    <row r="12" spans="1:149" x14ac:dyDescent="0.25">
      <c r="A12" s="41"/>
      <c r="B12" s="39">
        <v>1992</v>
      </c>
      <c r="C12">
        <v>255322416</v>
      </c>
      <c r="D12" s="40">
        <f t="shared" si="6"/>
        <v>255.322416</v>
      </c>
      <c r="E12" s="12">
        <f t="shared" si="7"/>
        <v>834.90430032000006</v>
      </c>
      <c r="F12" s="5">
        <f t="shared" si="8"/>
        <v>510.02216445798001</v>
      </c>
      <c r="G12" s="13">
        <f t="shared" si="9"/>
        <v>166.98086006400001</v>
      </c>
      <c r="H12">
        <v>664</v>
      </c>
      <c r="I12" s="13">
        <f t="shared" si="0"/>
        <v>75.141387028799997</v>
      </c>
      <c r="J12">
        <v>88200</v>
      </c>
      <c r="K12" s="13">
        <v>0.61087499999999995</v>
      </c>
      <c r="L12" s="14">
        <f t="shared" si="10"/>
        <v>-3980.8249980274254</v>
      </c>
      <c r="N12" s="7">
        <f t="shared" si="11"/>
        <v>756.68516016782075</v>
      </c>
      <c r="O12" s="5">
        <f t="shared" si="12"/>
        <v>667.92344025600005</v>
      </c>
      <c r="P12">
        <v>88200</v>
      </c>
      <c r="Q12" s="5">
        <v>0.61087499999999995</v>
      </c>
      <c r="R12" s="5">
        <f t="shared" si="13"/>
        <v>40769.572164585043</v>
      </c>
      <c r="S12" s="5">
        <f t="shared" si="14"/>
        <v>462.24004721751749</v>
      </c>
      <c r="T12" s="5">
        <f t="shared" si="15"/>
        <v>408.01773156638399</v>
      </c>
      <c r="U12" s="6">
        <f t="shared" si="16"/>
        <v>36655.058601428216</v>
      </c>
      <c r="W12" s="9">
        <f t="shared" si="17"/>
        <v>36655.058601428216</v>
      </c>
      <c r="AA12" s="10">
        <v>0.05</v>
      </c>
      <c r="AB12">
        <v>0.36</v>
      </c>
      <c r="AC12" s="6">
        <f t="shared" ref="AC12:AC75" si="39">AV11*AA12*AB12</f>
        <v>600.16373383312578</v>
      </c>
      <c r="AD12" s="5"/>
      <c r="AE12" s="5"/>
      <c r="AF12" s="5"/>
      <c r="AG12" s="5"/>
      <c r="AH12" s="13">
        <v>0.02</v>
      </c>
      <c r="AJ12" s="3">
        <v>1.7999999999999999E-2</v>
      </c>
      <c r="AK12">
        <f t="shared" si="18"/>
        <v>7.3443191681949109</v>
      </c>
      <c r="AL12" s="6">
        <f t="shared" si="19"/>
        <v>733.85229896253077</v>
      </c>
      <c r="AO12" s="5">
        <f t="shared" si="1"/>
        <v>67.541616757721329</v>
      </c>
      <c r="AP12" s="5">
        <f t="shared" si="20"/>
        <v>4979.1068521054603</v>
      </c>
      <c r="AQ12" s="5">
        <f t="shared" si="21"/>
        <v>3787.6257407308981</v>
      </c>
      <c r="AR12" s="6">
        <f t="shared" si="22"/>
        <v>368521.6144502869</v>
      </c>
      <c r="AS12" s="5"/>
      <c r="AT12" s="5"/>
      <c r="AV12" s="3">
        <f t="shared" si="23"/>
        <v>32858.709465492429</v>
      </c>
      <c r="AW12" s="5">
        <f t="shared" si="2"/>
        <v>510.02216445798001</v>
      </c>
      <c r="AX12" s="5">
        <v>442.48054770025868</v>
      </c>
      <c r="AZ12">
        <f t="shared" si="24"/>
        <v>0</v>
      </c>
      <c r="BA12" s="5">
        <f>AP12*$BE$5/1000</f>
        <v>8.7233952048887655</v>
      </c>
      <c r="BB12" s="5">
        <f t="shared" si="26"/>
        <v>8.7233952048887655</v>
      </c>
      <c r="BG12">
        <f t="shared" ref="BG12:CL12" si="40">IF((BG$8-$B12)&gt;0,_xlfn.LOGNORM.DIST((BG$8-$B12+1),$BD$2,$BD$3,TRUE)-_xlfn.LOGNORM.DIST((BG$8-$B12),$BD$2,$BD$3,TRUE),_xlfn.LOGNORM.DIST((BG$8-$B12+1),$BD$2,$BD$3,TRUE))*$AW12</f>
        <v>6.2032849983593117</v>
      </c>
      <c r="BH12">
        <f t="shared" si="40"/>
        <v>26.152115731062501</v>
      </c>
      <c r="BI12">
        <f t="shared" si="40"/>
        <v>36.594869132355299</v>
      </c>
      <c r="BJ12">
        <f t="shared" si="40"/>
        <v>38.93704880231455</v>
      </c>
      <c r="BK12">
        <f t="shared" si="40"/>
        <v>37.551537702800658</v>
      </c>
      <c r="BL12">
        <f t="shared" si="40"/>
        <v>34.687882331626376</v>
      </c>
      <c r="BM12">
        <f t="shared" si="40"/>
        <v>31.386339409277944</v>
      </c>
      <c r="BN12">
        <f t="shared" si="40"/>
        <v>28.112521749701489</v>
      </c>
      <c r="BO12">
        <f t="shared" si="40"/>
        <v>25.062722132147428</v>
      </c>
      <c r="BP12">
        <f t="shared" si="40"/>
        <v>22.306559986720753</v>
      </c>
      <c r="BQ12">
        <f t="shared" si="40"/>
        <v>19.854591749472302</v>
      </c>
      <c r="BR12">
        <f t="shared" si="40"/>
        <v>17.690926523810852</v>
      </c>
      <c r="BS12">
        <f t="shared" si="40"/>
        <v>15.789111942787187</v>
      </c>
      <c r="BT12">
        <f t="shared" si="40"/>
        <v>14.119831276672508</v>
      </c>
      <c r="BU12">
        <f t="shared" si="40"/>
        <v>12.654521889006377</v>
      </c>
      <c r="BV12">
        <f t="shared" si="40"/>
        <v>11.366944976562412</v>
      </c>
      <c r="BW12">
        <f t="shared" si="40"/>
        <v>10.233730403649645</v>
      </c>
      <c r="BX12">
        <f t="shared" si="40"/>
        <v>9.2344206163454299</v>
      </c>
      <c r="BY12">
        <f t="shared" si="40"/>
        <v>8.3512836691247347</v>
      </c>
      <c r="BZ12">
        <f t="shared" si="40"/>
        <v>7.5690340694852827</v>
      </c>
      <c r="CA12">
        <f t="shared" si="40"/>
        <v>6.8745314007177036</v>
      </c>
      <c r="CB12">
        <f t="shared" si="40"/>
        <v>6.2564904904378356</v>
      </c>
      <c r="CC12">
        <f t="shared" si="40"/>
        <v>5.7052178870332622</v>
      </c>
      <c r="CD12">
        <f t="shared" si="40"/>
        <v>5.2123795688081573</v>
      </c>
      <c r="CE12">
        <f t="shared" si="40"/>
        <v>4.7707998877623323</v>
      </c>
      <c r="CF12">
        <f t="shared" si="40"/>
        <v>4.3742894564011925</v>
      </c>
      <c r="CG12">
        <f t="shared" si="40"/>
        <v>4.0174987831205975</v>
      </c>
      <c r="CH12">
        <f t="shared" si="40"/>
        <v>3.6957942752754236</v>
      </c>
      <c r="CI12">
        <f t="shared" si="40"/>
        <v>3.4051533924890953</v>
      </c>
      <c r="CJ12">
        <f t="shared" si="40"/>
        <v>3.1420760486320689</v>
      </c>
      <c r="CK12">
        <f t="shared" si="40"/>
        <v>2.9035097250410762</v>
      </c>
      <c r="CL12">
        <f t="shared" si="40"/>
        <v>2.6867861172001586</v>
      </c>
      <c r="CM12">
        <f t="shared" ref="CM12:DW12" si="41">IF((CM$8-$B12)&gt;0,_xlfn.LOGNORM.DIST((CM$8-$B12+1),$BD$2,$BD$3,TRUE)-_xlfn.LOGNORM.DIST((CM$8-$B12),$BD$2,$BD$3,TRUE),_xlfn.LOGNORM.DIST((CM$8-$B12+1),$BD$2,$BD$3,TRUE))*$AW12</f>
        <v>2.4895674676636519</v>
      </c>
      <c r="CN12">
        <f t="shared" si="41"/>
        <v>2.3098010299697558</v>
      </c>
      <c r="CO12">
        <f t="shared" si="41"/>
        <v>2.1456803601064163</v>
      </c>
      <c r="CP12">
        <f t="shared" si="41"/>
        <v>1.9956123460174526</v>
      </c>
      <c r="CQ12">
        <f t="shared" si="41"/>
        <v>1.858189065631872</v>
      </c>
      <c r="CR12">
        <f t="shared" si="41"/>
        <v>1.73216371442323</v>
      </c>
      <c r="CS12">
        <f t="shared" si="41"/>
        <v>1.6164299688782189</v>
      </c>
      <c r="CT12">
        <f t="shared" si="41"/>
        <v>1.5100042564791045</v>
      </c>
      <c r="CU12">
        <f t="shared" si="41"/>
        <v>1.4120104893266572</v>
      </c>
      <c r="CV12">
        <f t="shared" si="41"/>
        <v>1.3216668903650224</v>
      </c>
      <c r="CW12">
        <f t="shared" si="41"/>
        <v>1.2382746008195673</v>
      </c>
      <c r="CX12">
        <f t="shared" si="41"/>
        <v>1.1612078070421394</v>
      </c>
      <c r="CY12">
        <f t="shared" si="41"/>
        <v>1.0899051662140646</v>
      </c>
      <c r="CZ12">
        <f t="shared" si="41"/>
        <v>1.0238623447468012</v>
      </c>
      <c r="DA12">
        <f t="shared" si="41"/>
        <v>0.9626255119156496</v>
      </c>
      <c r="DB12">
        <f t="shared" si="41"/>
        <v>0.90578565526566479</v>
      </c>
      <c r="DC12">
        <f t="shared" si="41"/>
        <v>0.85297360443593517</v>
      </c>
      <c r="DD12">
        <f t="shared" si="41"/>
        <v>0.80385566692200616</v>
      </c>
      <c r="DE12">
        <f t="shared" si="41"/>
        <v>0.75812979349340848</v>
      </c>
      <c r="DF12">
        <f t="shared" si="41"/>
        <v>0.71552220294560664</v>
      </c>
      <c r="DG12">
        <f t="shared" si="41"/>
        <v>0.67578440596357403</v>
      </c>
      <c r="DH12">
        <f t="shared" si="41"/>
        <v>0.63869057642559723</v>
      </c>
      <c r="DI12">
        <f t="shared" si="41"/>
        <v>0.60403522571905766</v>
      </c>
      <c r="DJ12">
        <f t="shared" si="41"/>
        <v>0.57163114179868779</v>
      </c>
      <c r="DK12">
        <f t="shared" si="41"/>
        <v>0.54130755995748925</v>
      </c>
      <c r="DL12">
        <f t="shared" si="41"/>
        <v>0.51290853674879433</v>
      </c>
      <c r="DM12">
        <f t="shared" si="41"/>
        <v>0.48629150232187829</v>
      </c>
      <c r="DN12">
        <f t="shared" si="41"/>
        <v>0.46132596969806156</v>
      </c>
      <c r="DO12">
        <f t="shared" si="41"/>
        <v>0.43789238232465144</v>
      </c>
      <c r="DP12">
        <f t="shared" si="41"/>
        <v>0.41588108365160642</v>
      </c>
      <c r="DQ12">
        <f t="shared" si="41"/>
        <v>0.39519139455339009</v>
      </c>
      <c r="DR12">
        <f t="shared" si="41"/>
        <v>0.37573078620706024</v>
      </c>
      <c r="DS12">
        <f t="shared" si="41"/>
        <v>0.35741413758544893</v>
      </c>
      <c r="DT12">
        <f t="shared" si="41"/>
        <v>0.34016306806214336</v>
      </c>
      <c r="DU12">
        <f t="shared" si="41"/>
        <v>0.32390533678604683</v>
      </c>
      <c r="DV12">
        <f t="shared" si="41"/>
        <v>0.30857430148973308</v>
      </c>
      <c r="DW12" s="4">
        <f t="shared" si="41"/>
        <v>0.29410843027358785</v>
      </c>
      <c r="DZ12" s="8">
        <f t="shared" si="30"/>
        <v>657.17418930984866</v>
      </c>
      <c r="EB12" s="3">
        <f t="shared" si="31"/>
        <v>6115.4358246877564</v>
      </c>
      <c r="EF12" s="3">
        <f t="shared" si="32"/>
        <v>33592.561764454964</v>
      </c>
      <c r="EG12">
        <f t="shared" si="33"/>
        <v>0.92999999999999994</v>
      </c>
      <c r="EH12">
        <f t="shared" si="34"/>
        <v>31241.082440943115</v>
      </c>
      <c r="EI12" s="4">
        <f>SUM($EH$10:EH12)</f>
        <v>97394.049611355091</v>
      </c>
      <c r="EJ12" s="4">
        <f t="shared" ref="EJ12:EJ74" si="42">EI12/1000</f>
        <v>97.394049611355086</v>
      </c>
      <c r="EN12" s="3">
        <f t="shared" si="35"/>
        <v>411.50690936124056</v>
      </c>
      <c r="EO12">
        <v>7.7030715856593099</v>
      </c>
      <c r="EP12">
        <f t="shared" si="36"/>
        <v>419.20998094689986</v>
      </c>
      <c r="EQ12">
        <f>SUM($EP$10:EP12)</f>
        <v>1300.817836662148</v>
      </c>
      <c r="ER12">
        <f t="shared" si="37"/>
        <v>31089546.296225335</v>
      </c>
      <c r="ES12" s="4">
        <f t="shared" si="38"/>
        <v>18.496725568939262</v>
      </c>
    </row>
    <row r="13" spans="1:149" x14ac:dyDescent="0.25">
      <c r="A13" s="41"/>
      <c r="B13" s="39">
        <v>1993</v>
      </c>
      <c r="C13">
        <v>258148860</v>
      </c>
      <c r="D13" s="40">
        <f t="shared" si="6"/>
        <v>258.14886000000001</v>
      </c>
      <c r="E13" s="12">
        <f t="shared" si="7"/>
        <v>844.1467722000001</v>
      </c>
      <c r="F13" s="5">
        <f t="shared" si="8"/>
        <v>515.66815946767497</v>
      </c>
      <c r="G13" s="13">
        <f t="shared" si="9"/>
        <v>168.82935444000003</v>
      </c>
      <c r="H13">
        <v>664</v>
      </c>
      <c r="I13" s="13">
        <f t="shared" si="0"/>
        <v>75.973209498000003</v>
      </c>
      <c r="J13">
        <v>88200</v>
      </c>
      <c r="K13" s="13">
        <v>0.61087499999999995</v>
      </c>
      <c r="L13" s="14">
        <f t="shared" si="10"/>
        <v>-4024.8931182770962</v>
      </c>
      <c r="N13" s="7">
        <f t="shared" si="11"/>
        <v>765.06173855193492</v>
      </c>
      <c r="O13" s="5">
        <f t="shared" si="12"/>
        <v>675.31741776000013</v>
      </c>
      <c r="P13">
        <v>88200</v>
      </c>
      <c r="Q13" s="5">
        <v>0.61087499999999995</v>
      </c>
      <c r="R13" s="5">
        <f t="shared" si="13"/>
        <v>41220.895297243944</v>
      </c>
      <c r="S13" s="5">
        <f t="shared" si="14"/>
        <v>467.35708953791323</v>
      </c>
      <c r="T13" s="5">
        <f t="shared" si="15"/>
        <v>412.53452757414004</v>
      </c>
      <c r="U13" s="6">
        <f t="shared" si="16"/>
        <v>37045.482833995316</v>
      </c>
      <c r="W13" s="9">
        <f t="shared" si="17"/>
        <v>37045.482833995316</v>
      </c>
      <c r="AA13" s="10">
        <v>0.05</v>
      </c>
      <c r="AB13">
        <v>0.36</v>
      </c>
      <c r="AC13" s="6">
        <f t="shared" si="39"/>
        <v>591.45677037886367</v>
      </c>
      <c r="AD13" s="5"/>
      <c r="AE13" s="5"/>
      <c r="AF13" s="5"/>
      <c r="AG13" s="5"/>
      <c r="AH13" s="13">
        <v>0.02</v>
      </c>
      <c r="AJ13" s="3">
        <v>1.7999999999999999E-2</v>
      </c>
      <c r="AK13">
        <f t="shared" si="18"/>
        <v>7.4256214963345206</v>
      </c>
      <c r="AL13" s="6">
        <f t="shared" si="19"/>
        <v>741.97611535039096</v>
      </c>
      <c r="AO13" s="5">
        <f t="shared" si="1"/>
        <v>74.056981427202231</v>
      </c>
      <c r="AP13" s="5">
        <f t="shared" si="20"/>
        <v>5053.1638335326625</v>
      </c>
      <c r="AQ13" s="5">
        <f t="shared" si="21"/>
        <v>4351.3973541693576</v>
      </c>
      <c r="AR13" s="6">
        <f t="shared" si="22"/>
        <v>372873.01180445624</v>
      </c>
      <c r="AS13" s="5"/>
      <c r="AT13" s="5"/>
      <c r="AV13" s="3">
        <f t="shared" si="23"/>
        <v>32685.23233678961</v>
      </c>
      <c r="AW13" s="5">
        <f t="shared" si="2"/>
        <v>515.66815946767497</v>
      </c>
      <c r="AX13" s="5">
        <v>441.61117804047274</v>
      </c>
      <c r="AZ13">
        <f t="shared" si="24"/>
        <v>0</v>
      </c>
      <c r="BA13" s="5">
        <f t="shared" si="25"/>
        <v>8.8531430363492252</v>
      </c>
      <c r="BB13" s="5">
        <f t="shared" si="26"/>
        <v>8.8531430363492252</v>
      </c>
      <c r="BH13">
        <f t="shared" ref="BH13:CM13" si="43">IF((BH$8-$B13)&gt;0,_xlfn.LOGNORM.DIST((BH$8-$B13+1),$BD$2,$BD$3,TRUE)-_xlfn.LOGNORM.DIST((BH$8-$B13),$BD$2,$BD$3,TRUE),_xlfn.LOGNORM.DIST((BH$8-$B13+1),$BD$2,$BD$3,TRUE))*$AW13</f>
        <v>6.2719559671625467</v>
      </c>
      <c r="BI13">
        <f t="shared" si="43"/>
        <v>26.441622198036267</v>
      </c>
      <c r="BJ13">
        <f t="shared" si="43"/>
        <v>36.999977896052457</v>
      </c>
      <c r="BK13">
        <f t="shared" si="43"/>
        <v>39.368085722962398</v>
      </c>
      <c r="BL13">
        <f t="shared" si="43"/>
        <v>37.967236880701492</v>
      </c>
      <c r="BM13">
        <f t="shared" si="43"/>
        <v>35.071880565799951</v>
      </c>
      <c r="BN13">
        <f t="shared" si="43"/>
        <v>31.733789241905708</v>
      </c>
      <c r="BO13">
        <f t="shared" si="43"/>
        <v>28.423730102141302</v>
      </c>
      <c r="BP13">
        <f t="shared" si="43"/>
        <v>25.340168905931971</v>
      </c>
      <c r="BQ13">
        <f t="shared" si="43"/>
        <v>22.553495777251211</v>
      </c>
      <c r="BR13">
        <f t="shared" si="43"/>
        <v>20.074384012924583</v>
      </c>
      <c r="BS13">
        <f t="shared" si="43"/>
        <v>17.886766802588667</v>
      </c>
      <c r="BT13">
        <f t="shared" si="43"/>
        <v>15.963898949017063</v>
      </c>
      <c r="BU13">
        <f t="shared" si="43"/>
        <v>14.276139183428972</v>
      </c>
      <c r="BV13">
        <f t="shared" si="43"/>
        <v>12.794608678197854</v>
      </c>
      <c r="BW13">
        <f t="shared" si="43"/>
        <v>11.492778163991341</v>
      </c>
      <c r="BX13">
        <f t="shared" si="43"/>
        <v>10.347018795441352</v>
      </c>
      <c r="BY13">
        <f t="shared" si="43"/>
        <v>9.3366465515118335</v>
      </c>
      <c r="BZ13">
        <f t="shared" si="43"/>
        <v>8.4437331923146441</v>
      </c>
      <c r="CA13">
        <f t="shared" si="43"/>
        <v>7.6528240134575034</v>
      </c>
      <c r="CB13">
        <f t="shared" si="43"/>
        <v>6.9506331325388926</v>
      </c>
      <c r="CC13">
        <f t="shared" si="43"/>
        <v>6.3257504492177761</v>
      </c>
      <c r="CD13">
        <f t="shared" si="43"/>
        <v>5.7683752044287617</v>
      </c>
      <c r="CE13">
        <f t="shared" si="43"/>
        <v>5.2700811180445566</v>
      </c>
      <c r="CF13">
        <f t="shared" si="43"/>
        <v>4.823613106943081</v>
      </c>
      <c r="CG13">
        <f t="shared" si="43"/>
        <v>4.4227132665076594</v>
      </c>
      <c r="CH13">
        <f t="shared" si="43"/>
        <v>4.0619728857413335</v>
      </c>
      <c r="CI13">
        <f t="shared" si="43"/>
        <v>3.7367070776773343</v>
      </c>
      <c r="CJ13">
        <f t="shared" si="43"/>
        <v>3.4428487720255334</v>
      </c>
      <c r="CK13">
        <f t="shared" si="43"/>
        <v>3.1768591363622103</v>
      </c>
      <c r="CL13">
        <f t="shared" si="43"/>
        <v>2.9356518603453416</v>
      </c>
      <c r="CM13">
        <f t="shared" si="43"/>
        <v>2.7165291010682249</v>
      </c>
      <c r="CN13">
        <f t="shared" ref="CN13:DW13" si="44">IF((CN$8-$B13)&gt;0,_xlfn.LOGNORM.DIST((CN$8-$B13+1),$BD$2,$BD$3,TRUE)-_xlfn.LOGNORM.DIST((CN$8-$B13),$BD$2,$BD$3,TRUE),_xlfn.LOGNORM.DIST((CN$8-$B13+1),$BD$2,$BD$3,TRUE))*$AW13</f>
        <v>2.5171272218826979</v>
      </c>
      <c r="CO13">
        <f t="shared" si="44"/>
        <v>2.3353707522238007</v>
      </c>
      <c r="CP13">
        <f t="shared" si="44"/>
        <v>2.1694332505684137</v>
      </c>
      <c r="CQ13">
        <f t="shared" si="44"/>
        <v>2.0177039689548093</v>
      </c>
      <c r="CR13">
        <f t="shared" si="44"/>
        <v>1.8787593994776115</v>
      </c>
      <c r="CS13">
        <f t="shared" si="44"/>
        <v>1.7513389353628956</v>
      </c>
      <c r="CT13">
        <f t="shared" si="44"/>
        <v>1.6343240059883644</v>
      </c>
      <c r="CU13">
        <f t="shared" si="44"/>
        <v>1.5267201505927643</v>
      </c>
      <c r="CV13">
        <f t="shared" si="44"/>
        <v>1.4276415828985369</v>
      </c>
      <c r="CW13">
        <f t="shared" si="44"/>
        <v>1.3362978715017153</v>
      </c>
      <c r="CX13">
        <f t="shared" si="44"/>
        <v>1.251982421193</v>
      </c>
      <c r="CY13">
        <f t="shared" si="44"/>
        <v>1.1740624905062322</v>
      </c>
      <c r="CZ13">
        <f t="shared" si="44"/>
        <v>1.1019705225030898</v>
      </c>
      <c r="DA13">
        <f t="shared" si="44"/>
        <v>1.035196600573111</v>
      </c>
      <c r="DB13">
        <f t="shared" si="44"/>
        <v>0.97328187004129452</v>
      </c>
      <c r="DC13">
        <f t="shared" si="44"/>
        <v>0.91581279064500287</v>
      </c>
      <c r="DD13">
        <f t="shared" si="44"/>
        <v>0.86241610527149171</v>
      </c>
      <c r="DE13">
        <f t="shared" si="44"/>
        <v>0.81275442740779791</v>
      </c>
      <c r="DF13">
        <f t="shared" si="44"/>
        <v>0.76652236410906749</v>
      </c>
      <c r="DG13">
        <f t="shared" si="44"/>
        <v>0.7234431033861789</v>
      </c>
      <c r="DH13">
        <f t="shared" si="44"/>
        <v>0.68326540512319844</v>
      </c>
      <c r="DI13">
        <f t="shared" si="44"/>
        <v>0.64576094328126199</v>
      </c>
      <c r="DJ13">
        <f t="shared" si="44"/>
        <v>0.61072195446880539</v>
      </c>
      <c r="DK13">
        <f t="shared" si="44"/>
        <v>0.57795915418499555</v>
      </c>
      <c r="DL13">
        <f t="shared" si="44"/>
        <v>0.54729988734090418</v>
      </c>
      <c r="DM13">
        <f t="shared" si="44"/>
        <v>0.51858648418072839</v>
      </c>
      <c r="DN13">
        <f t="shared" si="44"/>
        <v>0.491674796591617</v>
      </c>
      <c r="DO13">
        <f t="shared" si="44"/>
        <v>0.46643289309133407</v>
      </c>
      <c r="DP13">
        <f t="shared" si="44"/>
        <v>0.44273989362451011</v>
      </c>
      <c r="DQ13">
        <f t="shared" si="44"/>
        <v>0.4204849277324198</v>
      </c>
      <c r="DR13">
        <f t="shared" si="44"/>
        <v>0.39956620176180635</v>
      </c>
      <c r="DS13">
        <f t="shared" si="44"/>
        <v>0.37989016258665015</v>
      </c>
      <c r="DT13">
        <f t="shared" si="44"/>
        <v>0.36137074688172616</v>
      </c>
      <c r="DU13">
        <f t="shared" si="44"/>
        <v>0.3439287063394571</v>
      </c>
      <c r="DV13">
        <f t="shared" si="44"/>
        <v>0.32749100039549228</v>
      </c>
      <c r="DW13" s="4">
        <f t="shared" si="44"/>
        <v>0.31199024904601752</v>
      </c>
      <c r="DZ13" s="8">
        <f t="shared" si="30"/>
        <v>653.70464673579215</v>
      </c>
      <c r="EB13" s="3">
        <f t="shared" si="31"/>
        <v>6183.1342945865917</v>
      </c>
      <c r="EF13" s="3">
        <f t="shared" si="32"/>
        <v>33427.208452140003</v>
      </c>
      <c r="EG13">
        <f t="shared" si="33"/>
        <v>0.92999999999999994</v>
      </c>
      <c r="EH13">
        <f t="shared" si="34"/>
        <v>31087.303860490199</v>
      </c>
      <c r="EI13" s="4">
        <f>SUM($EH$10:EH13)</f>
        <v>128481.35347184529</v>
      </c>
      <c r="EJ13" s="4">
        <f t="shared" si="42"/>
        <v>128.4813534718453</v>
      </c>
      <c r="EN13" s="3">
        <f t="shared" si="35"/>
        <v>410.69839557763964</v>
      </c>
      <c r="EO13">
        <v>7.7884273211972834</v>
      </c>
      <c r="EP13">
        <f t="shared" si="36"/>
        <v>418.48682289883692</v>
      </c>
      <c r="EQ13">
        <f>SUM($EP$10:EP13)</f>
        <v>1719.3046595609849</v>
      </c>
      <c r="ER13">
        <f t="shared" si="37"/>
        <v>41091381.363507532</v>
      </c>
      <c r="ES13" s="4">
        <f t="shared" si="38"/>
        <v>24.447317342218803</v>
      </c>
    </row>
    <row r="14" spans="1:149" x14ac:dyDescent="0.25">
      <c r="A14" s="41"/>
      <c r="B14" s="39">
        <v>1994</v>
      </c>
      <c r="C14">
        <v>260741495</v>
      </c>
      <c r="D14" s="40">
        <f t="shared" si="6"/>
        <v>260.74149499999999</v>
      </c>
      <c r="E14" s="12">
        <f t="shared" si="7"/>
        <v>852.62468864999994</v>
      </c>
      <c r="F14" s="5">
        <f t="shared" si="8"/>
        <v>520.8471066790687</v>
      </c>
      <c r="G14" s="13">
        <f t="shared" si="9"/>
        <v>170.52493773</v>
      </c>
      <c r="H14">
        <v>664</v>
      </c>
      <c r="I14" s="13">
        <f t="shared" si="0"/>
        <v>76.736221978499998</v>
      </c>
      <c r="J14">
        <v>88200</v>
      </c>
      <c r="K14" s="13">
        <v>0.61087499999999995</v>
      </c>
      <c r="L14" s="14">
        <f t="shared" si="10"/>
        <v>-4065.3158370514675</v>
      </c>
      <c r="N14" s="7">
        <f t="shared" si="11"/>
        <v>772.74538991700604</v>
      </c>
      <c r="O14" s="5">
        <f t="shared" si="12"/>
        <v>682.09975091999991</v>
      </c>
      <c r="P14">
        <v>88200</v>
      </c>
      <c r="Q14" s="5">
        <v>0.61087499999999995</v>
      </c>
      <c r="R14" s="5">
        <f t="shared" si="13"/>
        <v>41634.884093781598</v>
      </c>
      <c r="S14" s="5">
        <f t="shared" si="14"/>
        <v>472.05084006555103</v>
      </c>
      <c r="T14" s="5">
        <f t="shared" si="15"/>
        <v>416.67768534325489</v>
      </c>
      <c r="U14" s="6">
        <f t="shared" si="16"/>
        <v>37408.474525104277</v>
      </c>
      <c r="W14" s="9">
        <f t="shared" si="17"/>
        <v>37408.474525104277</v>
      </c>
      <c r="AA14" s="10">
        <v>0.05</v>
      </c>
      <c r="AB14">
        <v>0.36</v>
      </c>
      <c r="AC14" s="6">
        <f t="shared" si="39"/>
        <v>588.33418206221302</v>
      </c>
      <c r="AD14" s="5"/>
      <c r="AE14" s="5"/>
      <c r="AF14" s="5"/>
      <c r="AG14" s="5"/>
      <c r="AH14" s="13">
        <v>0.02</v>
      </c>
      <c r="AJ14" s="3">
        <v>1.7999999999999999E-2</v>
      </c>
      <c r="AK14">
        <f t="shared" si="18"/>
        <v>7.5001983361785873</v>
      </c>
      <c r="AL14" s="6">
        <f t="shared" si="19"/>
        <v>749.42791368806866</v>
      </c>
      <c r="AO14" s="5">
        <f t="shared" si="1"/>
        <v>77.890802965189778</v>
      </c>
      <c r="AP14" s="5">
        <f t="shared" si="20"/>
        <v>5131.0546364978527</v>
      </c>
      <c r="AQ14" s="5">
        <f t="shared" si="21"/>
        <v>4713.7346617643943</v>
      </c>
      <c r="AR14" s="6">
        <f t="shared" si="22"/>
        <v>377586.74646622065</v>
      </c>
      <c r="AS14" s="5"/>
      <c r="AT14" s="5"/>
      <c r="AV14" s="3">
        <f t="shared" si="23"/>
        <v>32685.750255616738</v>
      </c>
      <c r="AW14" s="5">
        <f t="shared" si="2"/>
        <v>520.8471066790687</v>
      </c>
      <c r="AX14" s="5">
        <v>442.95630371387892</v>
      </c>
      <c r="AZ14">
        <f t="shared" si="24"/>
        <v>0</v>
      </c>
      <c r="BA14" s="5">
        <f t="shared" si="25"/>
        <v>8.9896077231442373</v>
      </c>
      <c r="BB14" s="5">
        <f t="shared" si="26"/>
        <v>8.9896077231442373</v>
      </c>
      <c r="BI14">
        <f t="shared" ref="BI14:CN14" si="45">IF((BI$8-$B14)&gt;0,_xlfn.LOGNORM.DIST((BI$8-$B14+1),$BD$2,$BD$3,TRUE)-_xlfn.LOGNORM.DIST((BI$8-$B14),$BD$2,$BD$3,TRUE),_xlfn.LOGNORM.DIST((BI$8-$B14+1),$BD$2,$BD$3,TRUE))*$AW14</f>
        <v>6.3349463385278293</v>
      </c>
      <c r="BJ14">
        <f t="shared" si="45"/>
        <v>26.707180121349992</v>
      </c>
      <c r="BK14">
        <f t="shared" si="45"/>
        <v>37.37157526701327</v>
      </c>
      <c r="BL14">
        <f t="shared" si="45"/>
        <v>39.76346642279718</v>
      </c>
      <c r="BM14">
        <f t="shared" si="45"/>
        <v>38.348548605999042</v>
      </c>
      <c r="BN14">
        <f t="shared" si="45"/>
        <v>35.424113711709303</v>
      </c>
      <c r="BO14">
        <f t="shared" si="45"/>
        <v>32.052497341841487</v>
      </c>
      <c r="BP14">
        <f t="shared" si="45"/>
        <v>28.709194688323731</v>
      </c>
      <c r="BQ14">
        <f t="shared" si="45"/>
        <v>25.594664737567371</v>
      </c>
      <c r="BR14">
        <f t="shared" si="45"/>
        <v>22.780004554103659</v>
      </c>
      <c r="BS14">
        <f t="shared" si="45"/>
        <v>20.275994628580015</v>
      </c>
      <c r="BT14">
        <f t="shared" si="45"/>
        <v>18.066406788793639</v>
      </c>
      <c r="BU14">
        <f t="shared" si="45"/>
        <v>16.124227230736707</v>
      </c>
      <c r="BV14">
        <f t="shared" si="45"/>
        <v>14.419516993084336</v>
      </c>
      <c r="BW14">
        <f t="shared" si="45"/>
        <v>12.923107212998275</v>
      </c>
      <c r="BX14">
        <f t="shared" si="45"/>
        <v>11.608202182967057</v>
      </c>
      <c r="BY14">
        <f t="shared" si="45"/>
        <v>10.450935748918191</v>
      </c>
      <c r="BZ14">
        <f t="shared" si="45"/>
        <v>9.4304161565067144</v>
      </c>
      <c r="CA14">
        <f t="shared" si="45"/>
        <v>8.5285351093366923</v>
      </c>
      <c r="CB14">
        <f t="shared" si="45"/>
        <v>7.7296826886657941</v>
      </c>
      <c r="CC14">
        <f t="shared" si="45"/>
        <v>7.0204395796081531</v>
      </c>
      <c r="CD14">
        <f t="shared" si="45"/>
        <v>6.3892810881518693</v>
      </c>
      <c r="CE14">
        <f t="shared" si="45"/>
        <v>5.8263080244618779</v>
      </c>
      <c r="CF14">
        <f t="shared" si="45"/>
        <v>5.3230094817781071</v>
      </c>
      <c r="CG14">
        <f t="shared" si="45"/>
        <v>4.8720575128859132</v>
      </c>
      <c r="CH14">
        <f t="shared" si="45"/>
        <v>4.4671313639174715</v>
      </c>
      <c r="CI14">
        <f t="shared" si="45"/>
        <v>4.1027680032275162</v>
      </c>
      <c r="CJ14">
        <f t="shared" si="45"/>
        <v>3.7742354926946775</v>
      </c>
      <c r="CK14">
        <f t="shared" si="45"/>
        <v>3.4774259157172018</v>
      </c>
      <c r="CL14">
        <f t="shared" si="45"/>
        <v>3.2087648987467601</v>
      </c>
      <c r="CM14">
        <f t="shared" si="45"/>
        <v>2.9651351350766206</v>
      </c>
      <c r="CN14">
        <f t="shared" si="45"/>
        <v>2.7438116868830447</v>
      </c>
      <c r="CO14">
        <f t="shared" ref="CO14:DW14" si="46">IF((CO$8-$B14)&gt;0,_xlfn.LOGNORM.DIST((CO$8-$B14+1),$BD$2,$BD$3,TRUE)-_xlfn.LOGNORM.DIST((CO$8-$B14),$BD$2,$BD$3,TRUE),_xlfn.LOGNORM.DIST((CO$8-$B14+1),$BD$2,$BD$3,TRUE))*$AW14</f>
        <v>2.5424071790938427</v>
      </c>
      <c r="CP14">
        <f t="shared" si="46"/>
        <v>2.3588252968233459</v>
      </c>
      <c r="CQ14">
        <f t="shared" si="46"/>
        <v>2.1912212552707682</v>
      </c>
      <c r="CR14">
        <f t="shared" si="46"/>
        <v>2.0379681294455865</v>
      </c>
      <c r="CS14">
        <f t="shared" si="46"/>
        <v>1.8976281148988789</v>
      </c>
      <c r="CT14">
        <f t="shared" si="46"/>
        <v>1.7689279443582659</v>
      </c>
      <c r="CU14">
        <f t="shared" si="46"/>
        <v>1.650737813197374</v>
      </c>
      <c r="CV14">
        <f t="shared" si="46"/>
        <v>1.5420532731083239</v>
      </c>
      <c r="CW14">
        <f t="shared" si="46"/>
        <v>1.4419796417041351</v>
      </c>
      <c r="CX14">
        <f t="shared" si="46"/>
        <v>1.3497185491374051</v>
      </c>
      <c r="CY14">
        <f t="shared" si="46"/>
        <v>1.2645563037372409</v>
      </c>
      <c r="CZ14">
        <f t="shared" si="46"/>
        <v>1.185853809302192</v>
      </c>
      <c r="DA14">
        <f t="shared" si="46"/>
        <v>1.1130378088184731</v>
      </c>
      <c r="DB14">
        <f t="shared" si="46"/>
        <v>1.0455932644922423</v>
      </c>
      <c r="DC14">
        <f t="shared" si="46"/>
        <v>0.98305671328923494</v>
      </c>
      <c r="DD14">
        <f t="shared" si="46"/>
        <v>0.92501046168826806</v>
      </c>
      <c r="DE14">
        <f t="shared" si="46"/>
        <v>0.87107750388890393</v>
      </c>
      <c r="DF14">
        <f t="shared" si="46"/>
        <v>0.82091706494531169</v>
      </c>
      <c r="DG14">
        <f t="shared" si="46"/>
        <v>0.774220684796875</v>
      </c>
      <c r="DH14">
        <f t="shared" si="46"/>
        <v>0.73070877138234058</v>
      </c>
      <c r="DI14">
        <f t="shared" si="46"/>
        <v>0.69012756133652275</v>
      </c>
      <c r="DJ14">
        <f t="shared" si="46"/>
        <v>0.65224643550146399</v>
      </c>
      <c r="DK14">
        <f t="shared" si="46"/>
        <v>0.61685554388083774</v>
      </c>
      <c r="DL14">
        <f t="shared" si="46"/>
        <v>0.58376370095584096</v>
      </c>
      <c r="DM14">
        <f t="shared" si="46"/>
        <v>0.552796517631722</v>
      </c>
      <c r="DN14">
        <f t="shared" si="46"/>
        <v>0.52379474064722564</v>
      </c>
      <c r="DO14">
        <f t="shared" si="46"/>
        <v>0.49661277418431798</v>
      </c>
      <c r="DP14">
        <f t="shared" si="46"/>
        <v>0.47111736174937829</v>
      </c>
      <c r="DQ14">
        <f t="shared" si="46"/>
        <v>0.44718640926710168</v>
      </c>
      <c r="DR14">
        <f t="shared" si="46"/>
        <v>0.42470793278698998</v>
      </c>
      <c r="DS14">
        <f t="shared" si="46"/>
        <v>0.40357911632398852</v>
      </c>
      <c r="DT14">
        <f t="shared" si="46"/>
        <v>0.38370546718136278</v>
      </c>
      <c r="DU14">
        <f t="shared" si="46"/>
        <v>0.36500005768457727</v>
      </c>
      <c r="DV14">
        <f t="shared" si="46"/>
        <v>0.34738284362118049</v>
      </c>
      <c r="DW14" s="4">
        <f t="shared" si="46"/>
        <v>0.33078005086741907</v>
      </c>
      <c r="DZ14" s="8">
        <f t="shared" si="30"/>
        <v>653.71500511233478</v>
      </c>
      <c r="EB14" s="3">
        <f t="shared" si="31"/>
        <v>6245.2326140672394</v>
      </c>
      <c r="EF14" s="3">
        <f t="shared" si="32"/>
        <v>33435.178169304811</v>
      </c>
      <c r="EG14">
        <f t="shared" si="33"/>
        <v>0.92999999999999994</v>
      </c>
      <c r="EH14">
        <f t="shared" si="34"/>
        <v>31094.71569745347</v>
      </c>
      <c r="EI14" s="4">
        <f>SUM($EH$10:EH14)</f>
        <v>159576.06916929875</v>
      </c>
      <c r="EJ14" s="4">
        <f t="shared" si="42"/>
        <v>159.57606916929873</v>
      </c>
      <c r="EN14" s="3">
        <f t="shared" si="35"/>
        <v>411.94936245390738</v>
      </c>
      <c r="EO14">
        <v>7.8667284930387735</v>
      </c>
      <c r="EP14">
        <f t="shared" si="36"/>
        <v>419.81609094694613</v>
      </c>
      <c r="EQ14">
        <f>SUM($EP$10:EP14)</f>
        <v>2139.120750507931</v>
      </c>
      <c r="ER14">
        <f t="shared" si="37"/>
        <v>51124985.937139548</v>
      </c>
      <c r="ES14" s="4">
        <f t="shared" si="38"/>
        <v>30.416810383301172</v>
      </c>
    </row>
    <row r="15" spans="1:149" x14ac:dyDescent="0.25">
      <c r="A15" s="41"/>
      <c r="B15" s="39">
        <v>1995</v>
      </c>
      <c r="C15">
        <v>263275715</v>
      </c>
      <c r="D15" s="40">
        <f t="shared" si="6"/>
        <v>263.27571499999999</v>
      </c>
      <c r="E15" s="12">
        <f t="shared" si="7"/>
        <v>860.91158804999998</v>
      </c>
      <c r="F15" s="5">
        <f t="shared" si="8"/>
        <v>525.90936635004368</v>
      </c>
      <c r="G15" s="13">
        <f t="shared" si="9"/>
        <v>172.18231761000001</v>
      </c>
      <c r="H15">
        <v>664</v>
      </c>
      <c r="I15" s="13">
        <f t="shared" si="0"/>
        <v>77.482042924499993</v>
      </c>
      <c r="J15">
        <v>88200</v>
      </c>
      <c r="K15" s="13">
        <v>0.61087499999999995</v>
      </c>
      <c r="L15" s="14">
        <f t="shared" si="10"/>
        <v>-4104.8277862353607</v>
      </c>
      <c r="N15" s="7">
        <f t="shared" si="11"/>
        <v>780.25591992311604</v>
      </c>
      <c r="O15" s="5">
        <f t="shared" si="12"/>
        <v>688.72927043999994</v>
      </c>
      <c r="P15">
        <v>88200</v>
      </c>
      <c r="Q15" s="5">
        <v>0.61087499999999995</v>
      </c>
      <c r="R15" s="5">
        <f t="shared" si="13"/>
        <v>42039.545254323551</v>
      </c>
      <c r="S15" s="5">
        <f t="shared" si="14"/>
        <v>476.63883508303348</v>
      </c>
      <c r="T15" s="5">
        <f t="shared" si="15"/>
        <v>420.72749308003495</v>
      </c>
      <c r="U15" s="6">
        <f t="shared" si="16"/>
        <v>37766.349158111465</v>
      </c>
      <c r="W15" s="9">
        <f t="shared" si="17"/>
        <v>37766.349158111465</v>
      </c>
      <c r="AA15" s="10">
        <v>0.05</v>
      </c>
      <c r="AB15">
        <v>0.36</v>
      </c>
      <c r="AC15" s="6">
        <f t="shared" si="39"/>
        <v>588.34350460110124</v>
      </c>
      <c r="AD15" s="5"/>
      <c r="AE15" s="5"/>
      <c r="AF15" s="5"/>
      <c r="AG15" s="5"/>
      <c r="AH15" s="13">
        <v>0.02</v>
      </c>
      <c r="AJ15" s="3">
        <v>1.7999999999999999E-2</v>
      </c>
      <c r="AK15">
        <f t="shared" si="18"/>
        <v>7.5730948754406286</v>
      </c>
      <c r="AL15" s="6">
        <f t="shared" si="19"/>
        <v>756.71181457782382</v>
      </c>
      <c r="AO15" s="5">
        <f t="shared" si="1"/>
        <v>80.301355435293544</v>
      </c>
      <c r="AP15" s="5">
        <f t="shared" si="20"/>
        <v>5211.3559919331465</v>
      </c>
      <c r="AQ15" s="5">
        <f t="shared" si="21"/>
        <v>4965.582257385011</v>
      </c>
      <c r="AR15" s="6">
        <f t="shared" si="22"/>
        <v>382552.32872360566</v>
      </c>
      <c r="AS15" s="5"/>
      <c r="AT15" s="5"/>
      <c r="AV15" s="3">
        <f t="shared" si="23"/>
        <v>32791.636605028587</v>
      </c>
      <c r="AW15" s="5">
        <f t="shared" si="2"/>
        <v>525.90936635004368</v>
      </c>
      <c r="AX15" s="5">
        <v>445.60801091475014</v>
      </c>
      <c r="AZ15">
        <f t="shared" si="24"/>
        <v>0</v>
      </c>
      <c r="BA15" s="5">
        <f t="shared" si="25"/>
        <v>9.1302956978668739</v>
      </c>
      <c r="BB15" s="5">
        <f t="shared" si="26"/>
        <v>9.1302956978668739</v>
      </c>
      <c r="BJ15">
        <f t="shared" ref="BJ15:CO15" si="47">IF((BJ$8-$B15)&gt;0,_xlfn.LOGNORM.DIST((BJ$8-$B15+1),$BD$2,$BD$3,TRUE)-_xlfn.LOGNORM.DIST((BJ$8-$B15),$BD$2,$BD$3,TRUE),_xlfn.LOGNORM.DIST((BJ$8-$B15+1),$BD$2,$BD$3,TRUE))*$AW15</f>
        <v>6.396517465555478</v>
      </c>
      <c r="BK15">
        <f t="shared" si="47"/>
        <v>26.966754724184604</v>
      </c>
      <c r="BL15">
        <f t="shared" si="47"/>
        <v>37.734800128760611</v>
      </c>
      <c r="BM15">
        <f t="shared" si="47"/>
        <v>40.149938748109193</v>
      </c>
      <c r="BN15">
        <f t="shared" si="47"/>
        <v>38.721268946688561</v>
      </c>
      <c r="BO15">
        <f t="shared" si="47"/>
        <v>35.768410646305334</v>
      </c>
      <c r="BP15">
        <f t="shared" si="47"/>
        <v>32.364024587681826</v>
      </c>
      <c r="BQ15">
        <f t="shared" si="47"/>
        <v>28.988227434389113</v>
      </c>
      <c r="BR15">
        <f t="shared" si="47"/>
        <v>25.843426490165431</v>
      </c>
      <c r="BS15">
        <f t="shared" si="47"/>
        <v>23.001409831929116</v>
      </c>
      <c r="BT15">
        <f t="shared" si="47"/>
        <v>20.473062728951383</v>
      </c>
      <c r="BU15">
        <f t="shared" si="47"/>
        <v>18.241999282854842</v>
      </c>
      <c r="BV15">
        <f t="shared" si="47"/>
        <v>16.280943134864959</v>
      </c>
      <c r="BW15">
        <f t="shared" si="47"/>
        <v>14.559664338462616</v>
      </c>
      <c r="BX15">
        <f t="shared" si="47"/>
        <v>13.048710530419326</v>
      </c>
      <c r="BY15">
        <f t="shared" si="47"/>
        <v>11.72102556819816</v>
      </c>
      <c r="BZ15">
        <f t="shared" si="47"/>
        <v>10.552511335855833</v>
      </c>
      <c r="CA15">
        <f t="shared" si="47"/>
        <v>9.522073026204966</v>
      </c>
      <c r="CB15">
        <f t="shared" si="47"/>
        <v>8.6114263432186764</v>
      </c>
      <c r="CC15">
        <f t="shared" si="47"/>
        <v>7.8048096509595037</v>
      </c>
      <c r="CD15">
        <f t="shared" si="47"/>
        <v>7.0886732084420849</v>
      </c>
      <c r="CE15">
        <f t="shared" si="47"/>
        <v>6.4513803099087133</v>
      </c>
      <c r="CF15">
        <f t="shared" si="47"/>
        <v>5.882935552511265</v>
      </c>
      <c r="CG15">
        <f t="shared" si="47"/>
        <v>5.3747453095906756</v>
      </c>
      <c r="CH15">
        <f t="shared" si="47"/>
        <v>4.9194104115501851</v>
      </c>
      <c r="CI15">
        <f t="shared" si="47"/>
        <v>4.5105486713355596</v>
      </c>
      <c r="CJ15">
        <f t="shared" si="47"/>
        <v>4.1426439605588916</v>
      </c>
      <c r="CK15">
        <f t="shared" si="47"/>
        <v>3.8109183500599642</v>
      </c>
      <c r="CL15">
        <f t="shared" si="47"/>
        <v>3.5112239972390129</v>
      </c>
      <c r="CM15">
        <f t="shared" si="47"/>
        <v>3.2399517882048499</v>
      </c>
      <c r="CN15">
        <f t="shared" si="47"/>
        <v>2.9939541182692029</v>
      </c>
      <c r="CO15">
        <f t="shared" si="47"/>
        <v>2.770479565170437</v>
      </c>
      <c r="CP15">
        <f t="shared" ref="CP15:DW15" si="48">IF((CP$8-$B15)&gt;0,_xlfn.LOGNORM.DIST((CP$8-$B15+1),$BD$2,$BD$3,TRUE)-_xlfn.LOGNORM.DIST((CP$8-$B15),$BD$2,$BD$3,TRUE),_xlfn.LOGNORM.DIST((CP$8-$B15+1),$BD$2,$BD$3,TRUE))*$AW15</f>
        <v>2.567117550265885</v>
      </c>
      <c r="CQ15">
        <f t="shared" si="48"/>
        <v>2.3817513839953</v>
      </c>
      <c r="CR15">
        <f t="shared" si="48"/>
        <v>2.2125183515750302</v>
      </c>
      <c r="CS15">
        <f t="shared" si="48"/>
        <v>2.0577757154725194</v>
      </c>
      <c r="CT15">
        <f t="shared" si="48"/>
        <v>1.9160716968126017</v>
      </c>
      <c r="CU15">
        <f t="shared" si="48"/>
        <v>1.7861206530797971</v>
      </c>
      <c r="CV15">
        <f t="shared" si="48"/>
        <v>1.6667817987584794</v>
      </c>
      <c r="CW15">
        <f t="shared" si="48"/>
        <v>1.557040923024869</v>
      </c>
      <c r="CX15">
        <f t="shared" si="48"/>
        <v>1.4559946478219739</v>
      </c>
      <c r="CY15">
        <f t="shared" si="48"/>
        <v>1.3628368437210692</v>
      </c>
      <c r="CZ15">
        <f t="shared" si="48"/>
        <v>1.2768468824809771</v>
      </c>
      <c r="DA15">
        <f t="shared" si="48"/>
        <v>1.1973794563443316</v>
      </c>
      <c r="DB15">
        <f t="shared" si="48"/>
        <v>1.1238557366510336</v>
      </c>
      <c r="DC15">
        <f t="shared" si="48"/>
        <v>1.0557556798099175</v>
      </c>
      <c r="DD15">
        <f t="shared" si="48"/>
        <v>0.99261131825900328</v>
      </c>
      <c r="DE15">
        <f t="shared" si="48"/>
        <v>0.93400089879617687</v>
      </c>
      <c r="DF15">
        <f t="shared" si="48"/>
        <v>0.87954375139548258</v>
      </c>
      <c r="DG15">
        <f t="shared" si="48"/>
        <v>0.82889578902344785</v>
      </c>
      <c r="DH15">
        <f t="shared" si="48"/>
        <v>0.78174555360928222</v>
      </c>
      <c r="DI15">
        <f t="shared" si="48"/>
        <v>0.73781073565777189</v>
      </c>
      <c r="DJ15">
        <f t="shared" si="48"/>
        <v>0.69683510540613947</v>
      </c>
      <c r="DK15">
        <f t="shared" si="48"/>
        <v>0.65858580224390184</v>
      </c>
      <c r="DL15">
        <f t="shared" si="48"/>
        <v>0.62285093658353619</v>
      </c>
      <c r="DM15">
        <f t="shared" si="48"/>
        <v>0.5894374647203553</v>
      </c>
      <c r="DN15">
        <f t="shared" si="48"/>
        <v>0.55816930262289755</v>
      </c>
      <c r="DO15">
        <f t="shared" si="48"/>
        <v>0.5288856492026246</v>
      </c>
      <c r="DP15">
        <f t="shared" si="48"/>
        <v>0.5014394935547557</v>
      </c>
      <c r="DQ15">
        <f t="shared" si="48"/>
        <v>0.47569628402829101</v>
      </c>
      <c r="DR15">
        <f t="shared" si="48"/>
        <v>0.45153273988123299</v>
      </c>
      <c r="DS15">
        <f t="shared" si="48"/>
        <v>0.42883578875954032</v>
      </c>
      <c r="DT15">
        <f t="shared" si="48"/>
        <v>0.40750161538065216</v>
      </c>
      <c r="DU15">
        <f t="shared" si="48"/>
        <v>0.38743480864671087</v>
      </c>
      <c r="DV15">
        <f t="shared" si="48"/>
        <v>0.36854759600863807</v>
      </c>
      <c r="DW15" s="4">
        <f t="shared" si="48"/>
        <v>0.35075915528174556</v>
      </c>
      <c r="DZ15" s="8">
        <f t="shared" si="30"/>
        <v>655.83273210057177</v>
      </c>
      <c r="EB15" s="3">
        <f t="shared" si="31"/>
        <v>6305.9317881485322</v>
      </c>
      <c r="EF15" s="3">
        <f t="shared" si="32"/>
        <v>33548.348419606409</v>
      </c>
      <c r="EG15">
        <f t="shared" si="33"/>
        <v>0.92999999999999994</v>
      </c>
      <c r="EH15">
        <f t="shared" si="34"/>
        <v>31199.964030233958</v>
      </c>
      <c r="EI15" s="4">
        <f>SUM($EH$10:EH15)</f>
        <v>190776.03319953271</v>
      </c>
      <c r="EJ15" s="4">
        <f t="shared" si="42"/>
        <v>190.77603319953272</v>
      </c>
      <c r="EN15" s="3">
        <f t="shared" si="35"/>
        <v>414.41545015071762</v>
      </c>
      <c r="EO15">
        <v>7.9432671484743933</v>
      </c>
      <c r="EP15">
        <f t="shared" si="36"/>
        <v>422.35871729919199</v>
      </c>
      <c r="EQ15">
        <f>SUM($EP$10:EP15)</f>
        <v>2561.479467807123</v>
      </c>
      <c r="ER15">
        <f t="shared" si="37"/>
        <v>61219359.280590236</v>
      </c>
      <c r="ES15" s="4">
        <f t="shared" si="38"/>
        <v>36.422457803987157</v>
      </c>
    </row>
    <row r="16" spans="1:149" x14ac:dyDescent="0.25">
      <c r="A16" s="41"/>
      <c r="B16" s="39">
        <v>1996</v>
      </c>
      <c r="C16">
        <v>265808033</v>
      </c>
      <c r="D16" s="40">
        <f t="shared" si="6"/>
        <v>265.80803300000002</v>
      </c>
      <c r="E16" s="12">
        <f t="shared" si="7"/>
        <v>869.19226791000006</v>
      </c>
      <c r="F16" s="5">
        <f t="shared" si="8"/>
        <v>530.96782665952128</v>
      </c>
      <c r="G16" s="13">
        <f t="shared" si="9"/>
        <v>173.83845358200003</v>
      </c>
      <c r="H16">
        <v>664</v>
      </c>
      <c r="I16" s="13">
        <f t="shared" si="0"/>
        <v>78.227304111899997</v>
      </c>
      <c r="J16">
        <v>88200</v>
      </c>
      <c r="K16" s="13">
        <v>0.61087499999999995</v>
      </c>
      <c r="L16" s="14">
        <f t="shared" si="10"/>
        <v>-4144.3100806428947</v>
      </c>
      <c r="N16" s="7">
        <f t="shared" si="11"/>
        <v>787.76081307525465</v>
      </c>
      <c r="O16" s="5">
        <f t="shared" si="12"/>
        <v>695.353814328</v>
      </c>
      <c r="P16">
        <v>88200</v>
      </c>
      <c r="Q16" s="5">
        <v>0.61087499999999995</v>
      </c>
      <c r="R16" s="5">
        <f t="shared" si="13"/>
        <v>42443.902705823937</v>
      </c>
      <c r="S16" s="5">
        <f t="shared" si="14"/>
        <v>481.22338668734614</v>
      </c>
      <c r="T16" s="5">
        <f t="shared" si="15"/>
        <v>424.77426132761695</v>
      </c>
      <c r="U16" s="6">
        <f t="shared" si="16"/>
        <v>38125.851835366731</v>
      </c>
      <c r="W16" s="9">
        <f t="shared" si="17"/>
        <v>38125.851835366731</v>
      </c>
      <c r="AA16" s="10">
        <v>0.05</v>
      </c>
      <c r="AB16">
        <v>0.36</v>
      </c>
      <c r="AC16" s="6">
        <f t="shared" si="39"/>
        <v>590.24945889051457</v>
      </c>
      <c r="AD16" s="5"/>
      <c r="AE16" s="5"/>
      <c r="AF16" s="5"/>
      <c r="AG16" s="5"/>
      <c r="AH16" s="13">
        <v>0.02</v>
      </c>
      <c r="AJ16" s="3">
        <v>1.7999999999999999E-2</v>
      </c>
      <c r="AK16">
        <f t="shared" si="18"/>
        <v>7.6459367038971049</v>
      </c>
      <c r="AL16" s="6">
        <f t="shared" si="19"/>
        <v>763.99024870483083</v>
      </c>
      <c r="AO16" s="5">
        <f t="shared" si="1"/>
        <v>81.876030225928503</v>
      </c>
      <c r="AP16" s="5">
        <f t="shared" si="20"/>
        <v>5293.2320221590753</v>
      </c>
      <c r="AQ16" s="5">
        <f t="shared" si="21"/>
        <v>5149.8967142983765</v>
      </c>
      <c r="AR16" s="6">
        <f t="shared" si="22"/>
        <v>387702.22543790407</v>
      </c>
      <c r="AS16" s="5"/>
      <c r="AT16" s="5"/>
      <c r="AV16" s="3">
        <f t="shared" ref="AV16:AV41" si="49">AX16/AP15*AR15</f>
        <v>32966.681378565532</v>
      </c>
      <c r="AW16" s="5">
        <f t="shared" si="2"/>
        <v>530.96782665952128</v>
      </c>
      <c r="AX16" s="5">
        <v>449.09179643359278</v>
      </c>
      <c r="AZ16">
        <f t="shared" si="24"/>
        <v>0</v>
      </c>
      <c r="BA16" s="5">
        <f t="shared" si="25"/>
        <v>9.2737425028227012</v>
      </c>
      <c r="BB16" s="5">
        <f t="shared" si="26"/>
        <v>9.2737425028227012</v>
      </c>
      <c r="BK16">
        <f t="shared" ref="BK16:CP16" si="50">IF((BK$8-$B16)&gt;0,_xlfn.LOGNORM.DIST((BK$8-$B16+1),$BD$2,$BD$3,TRUE)-_xlfn.LOGNORM.DIST((BK$8-$B16),$BD$2,$BD$3,TRUE),_xlfn.LOGNORM.DIST((BK$8-$B16+1),$BD$2,$BD$3,TRUE))*$AW16</f>
        <v>6.4580423818028452</v>
      </c>
      <c r="BL16">
        <f t="shared" si="50"/>
        <v>27.226134509325966</v>
      </c>
      <c r="BM16">
        <f t="shared" si="50"/>
        <v>38.097752380518678</v>
      </c>
      <c r="BN16">
        <f t="shared" si="50"/>
        <v>40.536121015587746</v>
      </c>
      <c r="BO16">
        <f t="shared" si="50"/>
        <v>39.093709550777483</v>
      </c>
      <c r="BP16">
        <f t="shared" si="50"/>
        <v>36.112449176828491</v>
      </c>
      <c r="BQ16">
        <f t="shared" si="50"/>
        <v>32.675318023978562</v>
      </c>
      <c r="BR16">
        <f t="shared" si="50"/>
        <v>29.267050758903487</v>
      </c>
      <c r="BS16">
        <f t="shared" si="50"/>
        <v>26.092001540404013</v>
      </c>
      <c r="BT16">
        <f t="shared" si="50"/>
        <v>23.22264893916228</v>
      </c>
      <c r="BU16">
        <f t="shared" si="50"/>
        <v>20.669982924434105</v>
      </c>
      <c r="BV16">
        <f t="shared" si="50"/>
        <v>18.417459990045252</v>
      </c>
      <c r="BW16">
        <f t="shared" si="50"/>
        <v>16.437541419508857</v>
      </c>
      <c r="BX16">
        <f t="shared" si="50"/>
        <v>14.699706499503742</v>
      </c>
      <c r="BY16">
        <f t="shared" si="50"/>
        <v>13.174219579185829</v>
      </c>
      <c r="BZ16">
        <f t="shared" si="50"/>
        <v>11.833764276456188</v>
      </c>
      <c r="CA16">
        <f t="shared" si="50"/>
        <v>10.654010687594342</v>
      </c>
      <c r="CB16">
        <f t="shared" si="50"/>
        <v>9.6136611049670879</v>
      </c>
      <c r="CC16">
        <f t="shared" si="50"/>
        <v>8.6942553650090364</v>
      </c>
      <c r="CD16">
        <f t="shared" si="50"/>
        <v>7.8798802284554146</v>
      </c>
      <c r="CE16">
        <f t="shared" si="50"/>
        <v>7.156855626109647</v>
      </c>
      <c r="CF16">
        <f t="shared" si="50"/>
        <v>6.5134329245360361</v>
      </c>
      <c r="CG16">
        <f t="shared" si="50"/>
        <v>5.9395205800838404</v>
      </c>
      <c r="CH16">
        <f t="shared" si="50"/>
        <v>5.4264423082785047</v>
      </c>
      <c r="CI16">
        <f t="shared" si="50"/>
        <v>4.9667277705954591</v>
      </c>
      <c r="CJ16">
        <f t="shared" si="50"/>
        <v>4.5539333929013122</v>
      </c>
      <c r="CK16">
        <f t="shared" si="50"/>
        <v>4.1824899899160419</v>
      </c>
      <c r="CL16">
        <f t="shared" si="50"/>
        <v>3.847573675958091</v>
      </c>
      <c r="CM16">
        <f t="shared" si="50"/>
        <v>3.5449967123952151</v>
      </c>
      <c r="CN16">
        <f t="shared" si="50"/>
        <v>3.2711152710669262</v>
      </c>
      <c r="CO16">
        <f t="shared" si="50"/>
        <v>3.0227514720428594</v>
      </c>
      <c r="CP16">
        <f t="shared" si="50"/>
        <v>2.7971274285007612</v>
      </c>
      <c r="CQ16">
        <f t="shared" ref="CQ16:DW16" si="51">IF((CQ$8-$B16)&gt;0,_xlfn.LOGNORM.DIST((CQ$8-$B16+1),$BD$2,$BD$3,TRUE)-_xlfn.LOGNORM.DIST((CQ$8-$B16),$BD$2,$BD$3,TRUE),_xlfn.LOGNORM.DIST((CQ$8-$B16+1),$BD$2,$BD$3,TRUE))*$AW16</f>
        <v>2.5918093756423892</v>
      </c>
      <c r="CR16">
        <f t="shared" si="51"/>
        <v>2.4046602645246584</v>
      </c>
      <c r="CS16">
        <f t="shared" si="51"/>
        <v>2.2337994638379817</v>
      </c>
      <c r="CT16">
        <f t="shared" si="51"/>
        <v>2.0775684353755079</v>
      </c>
      <c r="CU16">
        <f t="shared" si="51"/>
        <v>1.9345014363240078</v>
      </c>
      <c r="CV16">
        <f t="shared" si="51"/>
        <v>1.8033004582128525</v>
      </c>
      <c r="CW16">
        <f t="shared" si="51"/>
        <v>1.6828137428786143</v>
      </c>
      <c r="CX16">
        <f t="shared" si="51"/>
        <v>1.572017324308643</v>
      </c>
      <c r="CY16">
        <f t="shared" si="51"/>
        <v>1.4699991353022692</v>
      </c>
      <c r="CZ16">
        <f t="shared" si="51"/>
        <v>1.3759452926732185</v>
      </c>
      <c r="DA16">
        <f t="shared" si="51"/>
        <v>1.2891282368161103</v>
      </c>
      <c r="DB16">
        <f t="shared" si="51"/>
        <v>1.2088964530796023</v>
      </c>
      <c r="DC16">
        <f t="shared" si="51"/>
        <v>1.1346655453389514</v>
      </c>
      <c r="DD16">
        <f t="shared" si="51"/>
        <v>1.065910467962653</v>
      </c>
      <c r="DE16">
        <f t="shared" si="51"/>
        <v>1.0021587522417807</v>
      </c>
      <c r="DF16">
        <f t="shared" si="51"/>
        <v>0.94298458834018883</v>
      </c>
      <c r="DG16">
        <f t="shared" si="51"/>
        <v>0.88800364475650284</v>
      </c>
      <c r="DH16">
        <f t="shared" si="51"/>
        <v>0.83686852485541896</v>
      </c>
      <c r="DI16">
        <f t="shared" si="51"/>
        <v>0.78926477480605983</v>
      </c>
      <c r="DJ16">
        <f t="shared" si="51"/>
        <v>0.74490736971875793</v>
      </c>
      <c r="DK16">
        <f t="shared" si="51"/>
        <v>0.70353761528424152</v>
      </c>
      <c r="DL16">
        <f t="shared" si="51"/>
        <v>0.66492041112177236</v>
      </c>
      <c r="DM16">
        <f t="shared" si="51"/>
        <v>0.62884182958339907</v>
      </c>
      <c r="DN16">
        <f t="shared" si="51"/>
        <v>0.59510697017316838</v>
      </c>
      <c r="DO16">
        <f t="shared" si="51"/>
        <v>0.563538055195004</v>
      </c>
      <c r="DP16">
        <f t="shared" si="51"/>
        <v>0.53397273689477087</v>
      </c>
      <c r="DQ16">
        <f t="shared" si="51"/>
        <v>0.50626259034300147</v>
      </c>
      <c r="DR16">
        <f t="shared" si="51"/>
        <v>0.48027176970336732</v>
      </c>
      <c r="DS16">
        <f t="shared" si="51"/>
        <v>0.45587580845780329</v>
      </c>
      <c r="DT16">
        <f t="shared" si="51"/>
        <v>0.43296054666560085</v>
      </c>
      <c r="DU16">
        <f t="shared" si="51"/>
        <v>0.41142117049669286</v>
      </c>
      <c r="DV16">
        <f t="shared" si="51"/>
        <v>0.39116135114138284</v>
      </c>
      <c r="DW16" s="4">
        <f t="shared" si="51"/>
        <v>0.37209247181015065</v>
      </c>
      <c r="DZ16" s="8">
        <f t="shared" si="30"/>
        <v>659.33362757131067</v>
      </c>
      <c r="EB16" s="3">
        <f t="shared" si="31"/>
        <v>6366.5854058735904</v>
      </c>
      <c r="EF16" s="3">
        <f t="shared" si="32"/>
        <v>33730.671627270363</v>
      </c>
      <c r="EG16">
        <f t="shared" si="33"/>
        <v>0.92999999999999994</v>
      </c>
      <c r="EH16">
        <f t="shared" si="34"/>
        <v>31369.524613361435</v>
      </c>
      <c r="EI16" s="4">
        <f>SUM($EH$10:EH16)</f>
        <v>222145.55781289414</v>
      </c>
      <c r="EJ16" s="4">
        <f t="shared" si="42"/>
        <v>222.14555781289414</v>
      </c>
      <c r="EN16" s="3">
        <f t="shared" si="35"/>
        <v>417.65537068324124</v>
      </c>
      <c r="EO16">
        <v>8.0197484172724032</v>
      </c>
      <c r="EP16">
        <f t="shared" si="36"/>
        <v>425.67511910051365</v>
      </c>
      <c r="EQ16">
        <f>SUM($EP$10:EP16)</f>
        <v>2987.1545869076367</v>
      </c>
      <c r="ER16">
        <f t="shared" si="37"/>
        <v>71392994.62709251</v>
      </c>
      <c r="ES16" s="4">
        <f t="shared" si="38"/>
        <v>42.475262153388691</v>
      </c>
    </row>
    <row r="17" spans="1:149" x14ac:dyDescent="0.25">
      <c r="A17" s="41"/>
      <c r="B17" s="39">
        <v>1997</v>
      </c>
      <c r="C17">
        <v>268489588</v>
      </c>
      <c r="D17" s="40">
        <f t="shared" si="6"/>
        <v>268.48958800000003</v>
      </c>
      <c r="E17" s="12">
        <f t="shared" si="7"/>
        <v>877.96095276000005</v>
      </c>
      <c r="F17" s="5">
        <f t="shared" si="8"/>
        <v>536.32439701726503</v>
      </c>
      <c r="G17" s="13">
        <f t="shared" si="9"/>
        <v>175.59219055200003</v>
      </c>
      <c r="H17">
        <v>664</v>
      </c>
      <c r="I17" s="13">
        <f t="shared" si="0"/>
        <v>79.016485748400001</v>
      </c>
      <c r="J17">
        <v>88200</v>
      </c>
      <c r="K17" s="13">
        <v>0.61087499999999995</v>
      </c>
      <c r="L17" s="14">
        <f t="shared" si="10"/>
        <v>-4186.1191835991567</v>
      </c>
      <c r="N17" s="7">
        <f t="shared" si="11"/>
        <v>795.70799180896131</v>
      </c>
      <c r="O17" s="5">
        <f t="shared" si="12"/>
        <v>702.36876220800002</v>
      </c>
      <c r="P17">
        <v>88200</v>
      </c>
      <c r="Q17" s="5">
        <v>0.61087499999999995</v>
      </c>
      <c r="R17" s="5">
        <f t="shared" si="13"/>
        <v>42872.0901395736</v>
      </c>
      <c r="S17" s="5">
        <f t="shared" si="14"/>
        <v>486.07811949629922</v>
      </c>
      <c r="T17" s="5">
        <f t="shared" si="15"/>
        <v>429.05951761381198</v>
      </c>
      <c r="U17" s="6">
        <f t="shared" si="16"/>
        <v>38507.673598276306</v>
      </c>
      <c r="W17" s="9">
        <f t="shared" si="17"/>
        <v>38507.673598276306</v>
      </c>
      <c r="AA17" s="10">
        <v>0.05</v>
      </c>
      <c r="AB17">
        <v>0.36</v>
      </c>
      <c r="AC17" s="6">
        <f t="shared" si="39"/>
        <v>593.40026481417965</v>
      </c>
      <c r="AD17" s="5"/>
      <c r="AE17" s="5"/>
      <c r="AF17" s="5"/>
      <c r="AG17" s="5"/>
      <c r="AH17" s="13">
        <v>0.02</v>
      </c>
      <c r="AJ17" s="3">
        <v>1.7999999999999999E-2</v>
      </c>
      <c r="AK17">
        <f t="shared" si="18"/>
        <v>7.7230713170486149</v>
      </c>
      <c r="AL17" s="6">
        <f t="shared" si="19"/>
        <v>771.69762251232476</v>
      </c>
      <c r="AO17" s="5">
        <f t="shared" si="1"/>
        <v>83.178113533798751</v>
      </c>
      <c r="AP17" s="5">
        <f t="shared" si="20"/>
        <v>5376.4101356928741</v>
      </c>
      <c r="AQ17" s="5">
        <f t="shared" si="21"/>
        <v>5307.6020232989958</v>
      </c>
      <c r="AR17" s="6">
        <f t="shared" si="22"/>
        <v>393009.82746120304</v>
      </c>
      <c r="AS17" s="5"/>
      <c r="AT17" s="5"/>
      <c r="AV17" s="3">
        <f t="shared" si="49"/>
        <v>33190.652104419576</v>
      </c>
      <c r="AW17" s="5">
        <f t="shared" si="2"/>
        <v>536.32439701726503</v>
      </c>
      <c r="AX17" s="5">
        <v>453.14628348346628</v>
      </c>
      <c r="AZ17">
        <f t="shared" si="24"/>
        <v>0</v>
      </c>
      <c r="BA17" s="5">
        <f t="shared" si="25"/>
        <v>9.4194705577339146</v>
      </c>
      <c r="BB17" s="5">
        <f t="shared" si="26"/>
        <v>9.4194705577339146</v>
      </c>
      <c r="BL17">
        <f t="shared" ref="BL17:CQ17" si="52">IF((BL$8-$B17)&gt;0,_xlfn.LOGNORM.DIST((BL$8-$B17+1),$BD$2,$BD$3,TRUE)-_xlfn.LOGNORM.DIST((BL$8-$B17),$BD$2,$BD$3,TRUE),_xlfn.LOGNORM.DIST((BL$8-$B17+1),$BD$2,$BD$3,TRUE))*$AW17</f>
        <v>6.5231931435901513</v>
      </c>
      <c r="BM17">
        <f t="shared" si="52"/>
        <v>27.500800313440909</v>
      </c>
      <c r="BN17">
        <f t="shared" si="52"/>
        <v>38.482094483470625</v>
      </c>
      <c r="BO17">
        <f t="shared" si="52"/>
        <v>40.945062147889622</v>
      </c>
      <c r="BP17">
        <f t="shared" si="52"/>
        <v>39.4880991827659</v>
      </c>
      <c r="BQ17">
        <f t="shared" si="52"/>
        <v>36.476762916934192</v>
      </c>
      <c r="BR17">
        <f t="shared" si="52"/>
        <v>33.004956904470149</v>
      </c>
      <c r="BS17">
        <f t="shared" si="52"/>
        <v>29.562305967754874</v>
      </c>
      <c r="BT17">
        <f t="shared" si="52"/>
        <v>26.355225854586717</v>
      </c>
      <c r="BU17">
        <f t="shared" si="52"/>
        <v>23.456926322254215</v>
      </c>
      <c r="BV17">
        <f t="shared" si="52"/>
        <v>20.87850821027801</v>
      </c>
      <c r="BW17">
        <f t="shared" si="52"/>
        <v>18.603261116392723</v>
      </c>
      <c r="BX17">
        <f t="shared" si="52"/>
        <v>16.603368504882123</v>
      </c>
      <c r="BY17">
        <f t="shared" si="52"/>
        <v>14.848001759874133</v>
      </c>
      <c r="BZ17">
        <f t="shared" si="52"/>
        <v>13.30712524793085</v>
      </c>
      <c r="CA17">
        <f t="shared" si="52"/>
        <v>11.953147010703173</v>
      </c>
      <c r="CB17">
        <f t="shared" si="52"/>
        <v>10.761491696753202</v>
      </c>
      <c r="CC17">
        <f t="shared" si="52"/>
        <v>9.7106467404776975</v>
      </c>
      <c r="CD17">
        <f t="shared" si="52"/>
        <v>8.7819657463778213</v>
      </c>
      <c r="CE17">
        <f t="shared" si="52"/>
        <v>7.9593749374283966</v>
      </c>
      <c r="CF17">
        <f t="shared" si="52"/>
        <v>7.2290562355941335</v>
      </c>
      <c r="CG17">
        <f t="shared" si="52"/>
        <v>6.5791424835317729</v>
      </c>
      <c r="CH17">
        <f t="shared" si="52"/>
        <v>5.9994403309257072</v>
      </c>
      <c r="CI17">
        <f t="shared" si="52"/>
        <v>5.4811859642160048</v>
      </c>
      <c r="CJ17">
        <f t="shared" si="52"/>
        <v>5.0168336817545809</v>
      </c>
      <c r="CK17">
        <f t="shared" si="52"/>
        <v>4.5998749046064962</v>
      </c>
      <c r="CL17">
        <f t="shared" si="52"/>
        <v>4.2246842637998165</v>
      </c>
      <c r="CM17">
        <f t="shared" si="52"/>
        <v>3.8863892087777248</v>
      </c>
      <c r="CN17">
        <f t="shared" si="52"/>
        <v>3.58075975368414</v>
      </c>
      <c r="CO17">
        <f t="shared" si="52"/>
        <v>3.3041153102745673</v>
      </c>
      <c r="CP17">
        <f t="shared" si="52"/>
        <v>3.0532459391668607</v>
      </c>
      <c r="CQ17">
        <f t="shared" si="52"/>
        <v>2.8253457293432094</v>
      </c>
      <c r="CR17">
        <f t="shared" ref="CR17:DW17" si="53">IF((CR$8-$B17)&gt;0,_xlfn.LOGNORM.DIST((CR$8-$B17+1),$BD$2,$BD$3,TRUE)-_xlfn.LOGNORM.DIST((CR$8-$B17),$BD$2,$BD$3,TRUE),_xlfn.LOGNORM.DIST((CR$8-$B17+1),$BD$2,$BD$3,TRUE))*$AW17</f>
        <v>2.6179563634209742</v>
      </c>
      <c r="CS17">
        <f t="shared" si="53"/>
        <v>2.4289192332354999</v>
      </c>
      <c r="CT17">
        <f t="shared" si="53"/>
        <v>2.2563347350773277</v>
      </c>
      <c r="CU17">
        <f t="shared" si="53"/>
        <v>2.0985275988847736</v>
      </c>
      <c r="CV17">
        <f t="shared" si="53"/>
        <v>1.9540172949703183</v>
      </c>
      <c r="CW17">
        <f t="shared" si="53"/>
        <v>1.8214927201458204</v>
      </c>
      <c r="CX17">
        <f t="shared" si="53"/>
        <v>1.6997904969494171</v>
      </c>
      <c r="CY17">
        <f t="shared" si="53"/>
        <v>1.587876329277415</v>
      </c>
      <c r="CZ17">
        <f t="shared" si="53"/>
        <v>1.4848289487084934</v>
      </c>
      <c r="DA17">
        <f t="shared" si="53"/>
        <v>1.3898262613469319</v>
      </c>
      <c r="DB17">
        <f t="shared" si="53"/>
        <v>1.3021333677373244</v>
      </c>
      <c r="DC17">
        <f t="shared" si="53"/>
        <v>1.2210921805437074</v>
      </c>
      <c r="DD17">
        <f t="shared" si="53"/>
        <v>1.1461124080695122</v>
      </c>
      <c r="DE17">
        <f t="shared" si="53"/>
        <v>1.0766637078578429</v>
      </c>
      <c r="DF17">
        <f t="shared" si="53"/>
        <v>1.0122688447869062</v>
      </c>
      <c r="DG17">
        <f t="shared" si="53"/>
        <v>0.9524977133170649</v>
      </c>
      <c r="DH17">
        <f t="shared" si="53"/>
        <v>0.89696210468993531</v>
      </c>
      <c r="DI17">
        <f t="shared" si="53"/>
        <v>0.84531111762374467</v>
      </c>
      <c r="DJ17">
        <f t="shared" si="53"/>
        <v>0.79722712597851308</v>
      </c>
      <c r="DK17">
        <f t="shared" si="53"/>
        <v>0.75242222944388204</v>
      </c>
      <c r="DL17">
        <f t="shared" si="53"/>
        <v>0.7106351239210611</v>
      </c>
      <c r="DM17">
        <f t="shared" si="53"/>
        <v>0.67162833726276161</v>
      </c>
      <c r="DN17">
        <f t="shared" si="53"/>
        <v>0.63518578365166645</v>
      </c>
      <c r="DO17">
        <f t="shared" si="53"/>
        <v>0.60111059637434761</v>
      </c>
      <c r="DP17">
        <f t="shared" si="53"/>
        <v>0.56922320425744199</v>
      </c>
      <c r="DQ17">
        <f t="shared" si="53"/>
        <v>0.53935962173163299</v>
      </c>
      <c r="DR17">
        <f t="shared" si="53"/>
        <v>0.51136992651010382</v>
      </c>
      <c r="DS17">
        <f t="shared" si="53"/>
        <v>0.48511690230102256</v>
      </c>
      <c r="DT17">
        <f t="shared" si="53"/>
        <v>0.46047482692896091</v>
      </c>
      <c r="DU17">
        <f t="shared" si="53"/>
        <v>0.43732838877183955</v>
      </c>
      <c r="DV17">
        <f t="shared" si="53"/>
        <v>0.41557171660472286</v>
      </c>
      <c r="DW17" s="4">
        <f t="shared" si="53"/>
        <v>0.39510750982259896</v>
      </c>
      <c r="DZ17" s="8">
        <f t="shared" si="30"/>
        <v>663.81304208839151</v>
      </c>
      <c r="EB17" s="3">
        <f t="shared" si="31"/>
        <v>6430.8135209360398</v>
      </c>
      <c r="EF17" s="3">
        <f t="shared" si="32"/>
        <v>33962.349726931898</v>
      </c>
      <c r="EG17">
        <f t="shared" si="33"/>
        <v>0.92999999999999994</v>
      </c>
      <c r="EH17">
        <f t="shared" si="34"/>
        <v>31584.985246046665</v>
      </c>
      <c r="EI17" s="4">
        <f>SUM($EH$10:EH17)</f>
        <v>253730.54305894079</v>
      </c>
      <c r="EJ17" s="4">
        <f t="shared" si="42"/>
        <v>253.73054305894078</v>
      </c>
      <c r="EN17" s="3">
        <f t="shared" si="35"/>
        <v>421.42604363962363</v>
      </c>
      <c r="EO17">
        <v>8.1007325172881099</v>
      </c>
      <c r="EP17">
        <f t="shared" si="36"/>
        <v>429.52677615691175</v>
      </c>
      <c r="EQ17">
        <f>SUM($EP$10:EP17)</f>
        <v>3416.6813630645483</v>
      </c>
      <c r="ER17">
        <f t="shared" si="37"/>
        <v>81658684.577242702</v>
      </c>
      <c r="ES17" s="4">
        <f t="shared" si="38"/>
        <v>48.582834389230548</v>
      </c>
    </row>
    <row r="18" spans="1:149" x14ac:dyDescent="0.25">
      <c r="A18" s="41"/>
      <c r="B18" s="39">
        <v>1998</v>
      </c>
      <c r="C18">
        <v>271032375</v>
      </c>
      <c r="D18" s="40">
        <f t="shared" si="6"/>
        <v>271.032375</v>
      </c>
      <c r="E18" s="12">
        <f t="shared" si="7"/>
        <v>886.27586625000004</v>
      </c>
      <c r="F18" s="5">
        <f t="shared" si="8"/>
        <v>541.40376979546875</v>
      </c>
      <c r="G18" s="13">
        <f t="shared" si="9"/>
        <v>177.25517325000001</v>
      </c>
      <c r="H18">
        <v>664</v>
      </c>
      <c r="I18" s="13">
        <f t="shared" si="0"/>
        <v>79.764827962500007</v>
      </c>
      <c r="J18">
        <v>88200</v>
      </c>
      <c r="K18" s="13">
        <v>0.61087499999999995</v>
      </c>
      <c r="L18" s="14">
        <f t="shared" si="10"/>
        <v>-4225.7647040075926</v>
      </c>
      <c r="N18" s="7">
        <f t="shared" si="11"/>
        <v>803.24391136710801</v>
      </c>
      <c r="O18" s="5">
        <f t="shared" si="12"/>
        <v>709.02069300000005</v>
      </c>
      <c r="P18">
        <v>88200</v>
      </c>
      <c r="Q18" s="5">
        <v>0.61087499999999995</v>
      </c>
      <c r="R18" s="5">
        <f t="shared" si="13"/>
        <v>43278.119268232906</v>
      </c>
      <c r="S18" s="5">
        <f t="shared" si="14"/>
        <v>490.68162435638209</v>
      </c>
      <c r="T18" s="5">
        <f t="shared" si="15"/>
        <v>433.12301583637498</v>
      </c>
      <c r="U18" s="6">
        <f t="shared" si="16"/>
        <v>38870.780155276676</v>
      </c>
      <c r="W18" s="9">
        <f t="shared" si="17"/>
        <v>38870.780155276676</v>
      </c>
      <c r="AA18" s="10">
        <v>0.05</v>
      </c>
      <c r="AB18">
        <v>0.36</v>
      </c>
      <c r="AC18" s="6">
        <f t="shared" si="39"/>
        <v>597.43173787955243</v>
      </c>
      <c r="AD18" s="5"/>
      <c r="AE18" s="5"/>
      <c r="AF18" s="5"/>
      <c r="AG18" s="5"/>
      <c r="AH18" s="13">
        <v>0.02</v>
      </c>
      <c r="AJ18" s="3">
        <v>1.7999999999999999E-2</v>
      </c>
      <c r="AK18">
        <f>T18*AJ18</f>
        <v>7.7962142850547487</v>
      </c>
      <c r="AL18" s="6">
        <f t="shared" si="19"/>
        <v>779.0061468281923</v>
      </c>
      <c r="AO18" s="5">
        <f>F18-AX18</f>
        <v>83.784853358254054</v>
      </c>
      <c r="AP18" s="5">
        <f t="shared" si="20"/>
        <v>5460.1949890511278</v>
      </c>
      <c r="AQ18" s="5">
        <f t="shared" si="21"/>
        <v>5409.7608138407704</v>
      </c>
      <c r="AR18" s="6">
        <f t="shared" si="22"/>
        <v>398419.58827504382</v>
      </c>
      <c r="AS18" s="5"/>
      <c r="AT18" s="5"/>
      <c r="AV18" s="3">
        <f>AX18/AP17*AR17</f>
        <v>33451.453079815088</v>
      </c>
      <c r="AW18" s="5">
        <f t="shared" si="2"/>
        <v>541.40376979546875</v>
      </c>
      <c r="AX18" s="5">
        <v>457.61891643721469</v>
      </c>
      <c r="AZ18">
        <f t="shared" si="24"/>
        <v>0</v>
      </c>
      <c r="BA18" s="5">
        <f t="shared" si="25"/>
        <v>9.5662616208175741</v>
      </c>
      <c r="BB18" s="5">
        <f t="shared" si="26"/>
        <v>9.5662616208175741</v>
      </c>
      <c r="BM18">
        <f t="shared" ref="BM18:CR18" si="54">IF((BM$8-$B18)&gt;0,_xlfn.LOGNORM.DIST((BM$8-$B18+1),$BD$2,$BD$3,TRUE)-_xlfn.LOGNORM.DIST((BM$8-$B18),$BD$2,$BD$3,TRUE),_xlfn.LOGNORM.DIST((BM$8-$B18+1),$BD$2,$BD$3,TRUE))*$AW18</f>
        <v>6.5849724134961782</v>
      </c>
      <c r="BN18">
        <f t="shared" si="54"/>
        <v>27.761252415317621</v>
      </c>
      <c r="BO18">
        <f t="shared" si="54"/>
        <v>38.846547236794308</v>
      </c>
      <c r="BP18">
        <f t="shared" si="54"/>
        <v>41.332840953464178</v>
      </c>
      <c r="BQ18">
        <f t="shared" si="54"/>
        <v>39.862079514757944</v>
      </c>
      <c r="BR18">
        <f t="shared" si="54"/>
        <v>36.822223756731312</v>
      </c>
      <c r="BS18">
        <f t="shared" si="54"/>
        <v>33.317537276682742</v>
      </c>
      <c r="BT18">
        <f t="shared" si="54"/>
        <v>29.842281991647575</v>
      </c>
      <c r="BU18">
        <f t="shared" si="54"/>
        <v>26.604828553091011</v>
      </c>
      <c r="BV18">
        <f t="shared" si="54"/>
        <v>23.67908006667497</v>
      </c>
      <c r="BW18">
        <f t="shared" si="54"/>
        <v>21.076242504750866</v>
      </c>
      <c r="BX18">
        <f t="shared" si="54"/>
        <v>18.779447205681105</v>
      </c>
      <c r="BY18">
        <f t="shared" si="54"/>
        <v>16.760614191409168</v>
      </c>
      <c r="BZ18">
        <f t="shared" si="54"/>
        <v>14.988622877185339</v>
      </c>
      <c r="CA18">
        <f t="shared" si="54"/>
        <v>13.433153170800658</v>
      </c>
      <c r="CB18">
        <f t="shared" si="54"/>
        <v>12.066351798472837</v>
      </c>
      <c r="CC18">
        <f t="shared" si="54"/>
        <v>10.863410662739742</v>
      </c>
      <c r="CD18">
        <f t="shared" si="54"/>
        <v>9.802613458730022</v>
      </c>
      <c r="CE18">
        <f t="shared" si="54"/>
        <v>8.8651371963423351</v>
      </c>
      <c r="CF18">
        <f t="shared" si="54"/>
        <v>8.0347558684722422</v>
      </c>
      <c r="CG18">
        <f t="shared" si="54"/>
        <v>7.2975205300759649</v>
      </c>
      <c r="CH18">
        <f t="shared" si="54"/>
        <v>6.6414516334056675</v>
      </c>
      <c r="CI18">
        <f t="shared" si="54"/>
        <v>6.0562592898819609</v>
      </c>
      <c r="CJ18">
        <f t="shared" si="54"/>
        <v>5.5330966864090412</v>
      </c>
      <c r="CK18">
        <f t="shared" si="54"/>
        <v>5.0643466581874979</v>
      </c>
      <c r="CL18">
        <f t="shared" si="54"/>
        <v>4.643438985419416</v>
      </c>
      <c r="CM18">
        <f t="shared" si="54"/>
        <v>4.2646950228952294</v>
      </c>
      <c r="CN18">
        <f t="shared" si="54"/>
        <v>3.9231960735453084</v>
      </c>
      <c r="CO18">
        <f t="shared" si="54"/>
        <v>3.6146720905446337</v>
      </c>
      <c r="CP18">
        <f t="shared" si="54"/>
        <v>3.3354076278651736</v>
      </c>
      <c r="CQ18">
        <f t="shared" si="54"/>
        <v>3.0821623457200871</v>
      </c>
      <c r="CR18">
        <f t="shared" si="54"/>
        <v>2.8521037591222989</v>
      </c>
      <c r="CS18">
        <f t="shared" ref="CS18:DW18" si="55">IF((CS$8-$B18)&gt;0,_xlfn.LOGNORM.DIST((CS$8-$B18+1),$BD$2,$BD$3,TRUE)-_xlfn.LOGNORM.DIST((CS$8-$B18),$BD$2,$BD$3,TRUE),_xlfn.LOGNORM.DIST((CS$8-$B18+1),$BD$2,$BD$3,TRUE))*$AW18</f>
        <v>2.6427502686783884</v>
      </c>
      <c r="CT18">
        <f t="shared" si="55"/>
        <v>2.4519228226719783</v>
      </c>
      <c r="CU18">
        <f t="shared" si="55"/>
        <v>2.2777038267979464</v>
      </c>
      <c r="CV18">
        <f t="shared" si="55"/>
        <v>2.1184021449978445</v>
      </c>
      <c r="CW18">
        <f t="shared" si="55"/>
        <v>1.97252322591698</v>
      </c>
      <c r="CX18">
        <f t="shared" si="55"/>
        <v>1.8387435492892634</v>
      </c>
      <c r="CY18">
        <f t="shared" si="55"/>
        <v>1.7158887196423824</v>
      </c>
      <c r="CZ18">
        <f t="shared" si="55"/>
        <v>1.6029146453542913</v>
      </c>
      <c r="DA18">
        <f t="shared" si="55"/>
        <v>1.4988913329377083</v>
      </c>
      <c r="DB18">
        <f t="shared" si="55"/>
        <v>1.4029889026841131</v>
      </c>
      <c r="DC18">
        <f t="shared" si="55"/>
        <v>1.3144654951185497</v>
      </c>
      <c r="DD18">
        <f t="shared" si="55"/>
        <v>1.2326567903508041</v>
      </c>
      <c r="DE18">
        <f t="shared" si="55"/>
        <v>1.1569669062028916</v>
      </c>
      <c r="DF18">
        <f t="shared" si="55"/>
        <v>1.0868604774983577</v>
      </c>
      <c r="DG18">
        <f t="shared" si="55"/>
        <v>1.0218557493600142</v>
      </c>
      <c r="DH18">
        <f t="shared" si="55"/>
        <v>0.96151854284343119</v>
      </c>
      <c r="DI18">
        <f t="shared" si="55"/>
        <v>0.90545697257769198</v>
      </c>
      <c r="DJ18">
        <f t="shared" si="55"/>
        <v>0.85331681399677906</v>
      </c>
      <c r="DK18">
        <f t="shared" si="55"/>
        <v>0.8047774328156837</v>
      </c>
      <c r="DL18">
        <f t="shared" si="55"/>
        <v>0.75954820210372653</v>
      </c>
      <c r="DM18">
        <f t="shared" si="55"/>
        <v>0.71736534302680111</v>
      </c>
      <c r="DN18">
        <f t="shared" si="55"/>
        <v>0.67798913440780162</v>
      </c>
      <c r="DO18">
        <f t="shared" si="55"/>
        <v>0.6412014439433209</v>
      </c>
      <c r="DP18">
        <f t="shared" si="55"/>
        <v>0.60680354045239848</v>
      </c>
      <c r="DQ18">
        <f t="shared" si="55"/>
        <v>0.57461415209518152</v>
      </c>
      <c r="DR18">
        <f t="shared" si="55"/>
        <v>0.54446774024259781</v>
      </c>
      <c r="DS18">
        <f t="shared" si="55"/>
        <v>0.51621296273734418</v>
      </c>
      <c r="DT18">
        <f t="shared" si="55"/>
        <v>0.48971130375189487</v>
      </c>
      <c r="DU18">
        <f t="shared" si="55"/>
        <v>0.46483585043256953</v>
      </c>
      <c r="DV18">
        <f t="shared" si="55"/>
        <v>0.4414701990743678</v>
      </c>
      <c r="DW18" s="4">
        <f t="shared" si="55"/>
        <v>0.41950747577669556</v>
      </c>
      <c r="DZ18" s="8">
        <f t="shared" si="30"/>
        <v>669.02906159630174</v>
      </c>
      <c r="EB18" s="3">
        <f t="shared" si="31"/>
        <v>6491.717890234936</v>
      </c>
      <c r="EF18" s="3">
        <f t="shared" si="32"/>
        <v>34230.459226643281</v>
      </c>
      <c r="EG18">
        <f t="shared" si="33"/>
        <v>0.92999999999999994</v>
      </c>
      <c r="EH18">
        <f t="shared" si="34"/>
        <v>31834.32708077825</v>
      </c>
      <c r="EI18" s="4">
        <f>SUM($EH$10:EH18)</f>
        <v>285564.87013971905</v>
      </c>
      <c r="EJ18" s="4">
        <f t="shared" si="42"/>
        <v>285.56487013971906</v>
      </c>
      <c r="EN18" s="3">
        <f t="shared" si="35"/>
        <v>425.58559228660965</v>
      </c>
      <c r="EO18">
        <v>8.1775296864421012</v>
      </c>
      <c r="EP18">
        <f t="shared" si="36"/>
        <v>433.76312197305174</v>
      </c>
      <c r="EQ18">
        <f>SUM($EP$10:EP18)</f>
        <v>3850.4444850376003</v>
      </c>
      <c r="ER18">
        <f t="shared" si="37"/>
        <v>92025623.192398652</v>
      </c>
      <c r="ES18" s="4">
        <f t="shared" si="38"/>
        <v>54.750644518317571</v>
      </c>
    </row>
    <row r="19" spans="1:149" x14ac:dyDescent="0.25">
      <c r="A19" s="41"/>
      <c r="B19" s="39">
        <v>1999</v>
      </c>
      <c r="C19">
        <v>273682793</v>
      </c>
      <c r="D19" s="40">
        <f t="shared" si="6"/>
        <v>273.682793</v>
      </c>
      <c r="E19" s="12">
        <f t="shared" si="7"/>
        <v>894.94273311000006</v>
      </c>
      <c r="F19" s="5">
        <f t="shared" si="8"/>
        <v>546.69814208857122</v>
      </c>
      <c r="G19" s="13">
        <f t="shared" si="9"/>
        <v>178.98854662200003</v>
      </c>
      <c r="H19">
        <v>664</v>
      </c>
      <c r="I19" s="13">
        <f t="shared" si="0"/>
        <v>80.544845979900003</v>
      </c>
      <c r="J19">
        <v>88200</v>
      </c>
      <c r="K19" s="13">
        <v>0.61087499999999995</v>
      </c>
      <c r="L19" s="14">
        <f t="shared" si="10"/>
        <v>-4267.0883386297164</v>
      </c>
      <c r="N19" s="7">
        <f t="shared" si="11"/>
        <v>811.09881106710793</v>
      </c>
      <c r="O19" s="5">
        <f t="shared" si="12"/>
        <v>715.954186488</v>
      </c>
      <c r="P19">
        <v>88200</v>
      </c>
      <c r="Q19" s="5">
        <v>0.61087499999999995</v>
      </c>
      <c r="R19" s="5">
        <f t="shared" si="13"/>
        <v>43701.334783776641</v>
      </c>
      <c r="S19" s="5">
        <f t="shared" si="14"/>
        <v>495.47998621061953</v>
      </c>
      <c r="T19" s="5">
        <f t="shared" si="15"/>
        <v>437.35851367085695</v>
      </c>
      <c r="U19" s="6">
        <f t="shared" si="16"/>
        <v>39249.74857447562</v>
      </c>
      <c r="W19" s="9">
        <f t="shared" si="17"/>
        <v>39249.74857447562</v>
      </c>
      <c r="AA19" s="10">
        <v>0.05</v>
      </c>
      <c r="AB19">
        <v>0.36</v>
      </c>
      <c r="AC19" s="6">
        <f t="shared" si="39"/>
        <v>602.12615543667164</v>
      </c>
      <c r="AD19" s="5"/>
      <c r="AE19" s="5"/>
      <c r="AF19" s="5"/>
      <c r="AG19" s="5"/>
      <c r="AH19" s="13">
        <v>0.02</v>
      </c>
      <c r="AJ19" s="3">
        <v>1.7999999999999999E-2</v>
      </c>
      <c r="AK19">
        <f t="shared" si="18"/>
        <v>7.8724532460754242</v>
      </c>
      <c r="AL19" s="6">
        <f t="shared" si="19"/>
        <v>786.62402610797949</v>
      </c>
      <c r="AO19" s="5">
        <f t="shared" si="1"/>
        <v>84.29637657831546</v>
      </c>
      <c r="AP19" s="5">
        <f t="shared" si="20"/>
        <v>5544.491365629443</v>
      </c>
      <c r="AQ19" s="5">
        <f t="shared" si="21"/>
        <v>5499.4957983871045</v>
      </c>
      <c r="AR19" s="6">
        <f t="shared" si="22"/>
        <v>403919.08407343092</v>
      </c>
      <c r="AS19" s="5"/>
      <c r="AT19" s="5"/>
      <c r="AV19" s="3">
        <f t="shared" si="49"/>
        <v>33740.538827215933</v>
      </c>
      <c r="AW19" s="5">
        <f t="shared" si="2"/>
        <v>546.69814208857122</v>
      </c>
      <c r="AX19" s="5">
        <v>462.40176551025576</v>
      </c>
      <c r="AZ19">
        <f t="shared" si="24"/>
        <v>0</v>
      </c>
      <c r="BA19" s="5">
        <f t="shared" si="25"/>
        <v>9.7139488725827832</v>
      </c>
      <c r="BB19" s="5">
        <f t="shared" si="26"/>
        <v>9.7139488725827832</v>
      </c>
      <c r="BN19">
        <f t="shared" ref="BN19:CS19" si="56">IF((BN$8-$B19)&gt;0,_xlfn.LOGNORM.DIST((BN$8-$B19+1),$BD$2,$BD$3,TRUE)-_xlfn.LOGNORM.DIST((BN$8-$B19),$BD$2,$BD$3,TRUE),_xlfn.LOGNORM.DIST((BN$8-$B19+1),$BD$2,$BD$3,TRUE))*$AW19</f>
        <v>6.649366674197446</v>
      </c>
      <c r="BO19">
        <f t="shared" si="56"/>
        <v>28.032728924734997</v>
      </c>
      <c r="BP19">
        <f t="shared" si="56"/>
        <v>39.226426533628306</v>
      </c>
      <c r="BQ19">
        <f t="shared" si="56"/>
        <v>41.737033646880228</v>
      </c>
      <c r="BR19">
        <f t="shared" si="56"/>
        <v>40.251889673279948</v>
      </c>
      <c r="BS19">
        <f t="shared" si="56"/>
        <v>37.182307250981275</v>
      </c>
      <c r="BT19">
        <f t="shared" si="56"/>
        <v>33.643348540055946</v>
      </c>
      <c r="BU19">
        <f t="shared" si="56"/>
        <v>30.134108830975304</v>
      </c>
      <c r="BV19">
        <f t="shared" si="56"/>
        <v>26.864996425966073</v>
      </c>
      <c r="BW19">
        <f t="shared" si="56"/>
        <v>23.910637127089455</v>
      </c>
      <c r="BX19">
        <f t="shared" si="56"/>
        <v>21.282346489586466</v>
      </c>
      <c r="BY19">
        <f t="shared" si="56"/>
        <v>18.963090893650065</v>
      </c>
      <c r="BZ19">
        <f t="shared" si="56"/>
        <v>16.924515767905209</v>
      </c>
      <c r="CA19">
        <f t="shared" si="56"/>
        <v>15.135196200275997</v>
      </c>
      <c r="CB19">
        <f t="shared" si="56"/>
        <v>13.564515599221421</v>
      </c>
      <c r="CC19">
        <f t="shared" si="56"/>
        <v>12.184348314575404</v>
      </c>
      <c r="CD19">
        <f t="shared" si="56"/>
        <v>10.969643651185928</v>
      </c>
      <c r="CE19">
        <f t="shared" si="56"/>
        <v>9.8984729410448562</v>
      </c>
      <c r="CF19">
        <f t="shared" si="56"/>
        <v>8.9518291245581239</v>
      </c>
      <c r="CG19">
        <f t="shared" si="56"/>
        <v>8.1133275209525202</v>
      </c>
      <c r="CH19">
        <f t="shared" si="56"/>
        <v>7.3688827788415692</v>
      </c>
      <c r="CI19">
        <f t="shared" si="56"/>
        <v>6.7063982028157154</v>
      </c>
      <c r="CJ19">
        <f t="shared" si="56"/>
        <v>6.1154832797635033</v>
      </c>
      <c r="CK19">
        <f t="shared" si="56"/>
        <v>5.5872046838517777</v>
      </c>
      <c r="CL19">
        <f t="shared" si="56"/>
        <v>5.1138707622400119</v>
      </c>
      <c r="CM19">
        <f t="shared" si="56"/>
        <v>4.6888470451350024</v>
      </c>
      <c r="CN19">
        <f t="shared" si="56"/>
        <v>4.3063993560148131</v>
      </c>
      <c r="CO19">
        <f t="shared" si="56"/>
        <v>3.9615608980090049</v>
      </c>
      <c r="CP19">
        <f t="shared" si="56"/>
        <v>3.6500198676243167</v>
      </c>
      <c r="CQ19">
        <f t="shared" si="56"/>
        <v>3.3680244855901265</v>
      </c>
      <c r="CR19">
        <f t="shared" si="56"/>
        <v>3.1123027249276216</v>
      </c>
      <c r="CS19">
        <f t="shared" si="56"/>
        <v>2.8799944018584123</v>
      </c>
      <c r="CT19">
        <f t="shared" ref="CT19:DW19" si="57">IF((CT$8-$B19)&gt;0,_xlfn.LOGNORM.DIST((CT$8-$B19+1),$BD$2,$BD$3,TRUE)-_xlfn.LOGNORM.DIST((CT$8-$B19),$BD$2,$BD$3,TRUE),_xlfn.LOGNORM.DIST((CT$8-$B19+1),$BD$2,$BD$3,TRUE))*$AW19</f>
        <v>2.6685936494981517</v>
      </c>
      <c r="CU19">
        <f t="shared" si="57"/>
        <v>2.4759001072447919</v>
      </c>
      <c r="CV19">
        <f t="shared" si="57"/>
        <v>2.299977428692237</v>
      </c>
      <c r="CW19">
        <f t="shared" si="57"/>
        <v>2.1391179402099141</v>
      </c>
      <c r="CX19">
        <f t="shared" si="57"/>
        <v>1.9918124752673148</v>
      </c>
      <c r="CY19">
        <f t="shared" si="57"/>
        <v>1.8567245709307558</v>
      </c>
      <c r="CZ19">
        <f t="shared" si="57"/>
        <v>1.732668347347512</v>
      </c>
      <c r="DA19">
        <f t="shared" si="57"/>
        <v>1.6185895027528239</v>
      </c>
      <c r="DB19">
        <f t="shared" si="57"/>
        <v>1.5135489492791585</v>
      </c>
      <c r="DC19">
        <f t="shared" si="57"/>
        <v>1.4167086918475817</v>
      </c>
      <c r="DD19">
        <f t="shared" si="57"/>
        <v>1.3273196163601213</v>
      </c>
      <c r="DE19">
        <f t="shared" si="57"/>
        <v>1.2447109065609727</v>
      </c>
      <c r="DF19">
        <f t="shared" si="57"/>
        <v>1.168280853157031</v>
      </c>
      <c r="DG19">
        <f t="shared" si="57"/>
        <v>1.097488855650784</v>
      </c>
      <c r="DH19">
        <f t="shared" si="57"/>
        <v>1.0318484480975996</v>
      </c>
      <c r="DI19">
        <f t="shared" si="57"/>
        <v>0.97092120572931706</v>
      </c>
      <c r="DJ19">
        <f t="shared" si="57"/>
        <v>0.91431141093895929</v>
      </c>
      <c r="DK19">
        <f t="shared" si="57"/>
        <v>0.86166137520840447</v>
      </c>
      <c r="DL19">
        <f t="shared" si="57"/>
        <v>0.81264732877895551</v>
      </c>
      <c r="DM19">
        <f t="shared" si="57"/>
        <v>0.76697580268732235</v>
      </c>
      <c r="DN19">
        <f t="shared" si="57"/>
        <v>0.72438043861357149</v>
      </c>
      <c r="DO19">
        <f t="shared" si="57"/>
        <v>0.68461917115392401</v>
      </c>
      <c r="DP19">
        <f t="shared" si="57"/>
        <v>0.64747173489529064</v>
      </c>
      <c r="DQ19">
        <f t="shared" si="57"/>
        <v>0.61273745527006096</v>
      </c>
      <c r="DR19">
        <f t="shared" si="57"/>
        <v>0.58023328778614014</v>
      </c>
      <c r="DS19">
        <f t="shared" si="57"/>
        <v>0.54979207501684124</v>
      </c>
      <c r="DT19">
        <f t="shared" si="57"/>
        <v>0.52126099483414579</v>
      </c>
      <c r="DU19">
        <f t="shared" si="57"/>
        <v>0.4945001768681323</v>
      </c>
      <c r="DV19">
        <f t="shared" si="57"/>
        <v>0.46938146718788071</v>
      </c>
      <c r="DW19" s="4">
        <f t="shared" si="57"/>
        <v>0.44578732377982144</v>
      </c>
      <c r="DZ19" s="8">
        <f t="shared" si="30"/>
        <v>674.81077654431863</v>
      </c>
      <c r="EB19" s="3">
        <f t="shared" si="31"/>
        <v>6555.2002175664957</v>
      </c>
      <c r="EF19" s="3">
        <f t="shared" si="32"/>
        <v>34527.162853323913</v>
      </c>
      <c r="EG19">
        <f t="shared" si="33"/>
        <v>0.92999999999999994</v>
      </c>
      <c r="EH19">
        <f t="shared" si="34"/>
        <v>32110.261453591236</v>
      </c>
      <c r="EI19" s="4">
        <f>SUM($EH$10:EH19)</f>
        <v>317675.13159331027</v>
      </c>
      <c r="EJ19" s="4">
        <f t="shared" si="42"/>
        <v>317.67513159331025</v>
      </c>
      <c r="EN19" s="3">
        <f t="shared" si="35"/>
        <v>430.03364192453785</v>
      </c>
      <c r="EO19">
        <v>8.2575743345073711</v>
      </c>
      <c r="EP19">
        <f t="shared" si="36"/>
        <v>438.2912162590452</v>
      </c>
      <c r="EQ19">
        <f>SUM($EP$10:EP19)</f>
        <v>4288.7357012966459</v>
      </c>
      <c r="ER19">
        <f t="shared" si="37"/>
        <v>102500783.26098983</v>
      </c>
      <c r="ES19" s="4">
        <f t="shared" si="38"/>
        <v>60.982841001125905</v>
      </c>
    </row>
    <row r="20" spans="1:149" x14ac:dyDescent="0.25">
      <c r="A20" s="41"/>
      <c r="B20" s="39">
        <v>2000</v>
      </c>
      <c r="C20">
        <v>276429905</v>
      </c>
      <c r="D20" s="40">
        <f t="shared" si="6"/>
        <v>276.42990500000002</v>
      </c>
      <c r="E20" s="12">
        <f t="shared" si="7"/>
        <v>903.92578935000006</v>
      </c>
      <c r="F20" s="5">
        <f t="shared" si="8"/>
        <v>549.58687992479997</v>
      </c>
      <c r="G20" s="13">
        <f t="shared" si="9"/>
        <v>180.78515787000003</v>
      </c>
      <c r="H20">
        <v>664</v>
      </c>
      <c r="I20" s="13">
        <f t="shared" si="0"/>
        <v>81.353321041499996</v>
      </c>
      <c r="J20">
        <v>88200</v>
      </c>
      <c r="K20" s="15">
        <v>0.60799999999999998</v>
      </c>
      <c r="L20" s="14">
        <f t="shared" si="10"/>
        <v>-4289.6355151890484</v>
      </c>
      <c r="N20" s="7">
        <f t="shared" si="11"/>
        <v>819.24027751680239</v>
      </c>
      <c r="O20" s="5">
        <f t="shared" si="12"/>
        <v>723.14063148000002</v>
      </c>
      <c r="P20">
        <v>88200</v>
      </c>
      <c r="Q20" s="5">
        <v>0.60799999999999998</v>
      </c>
      <c r="R20" s="5">
        <f t="shared" si="13"/>
        <v>43932.251426005038</v>
      </c>
      <c r="S20" s="5">
        <f t="shared" si="14"/>
        <v>498.09808873021586</v>
      </c>
      <c r="T20" s="5">
        <f t="shared" si="15"/>
        <v>439.66950393984001</v>
      </c>
      <c r="U20" s="6">
        <f t="shared" si="16"/>
        <v>39459.165084037792</v>
      </c>
      <c r="W20" s="9">
        <f t="shared" si="17"/>
        <v>39459.165084037792</v>
      </c>
      <c r="AA20" s="10">
        <v>0.05</v>
      </c>
      <c r="AB20">
        <v>0.36</v>
      </c>
      <c r="AC20" s="6">
        <f t="shared" si="39"/>
        <v>607.3296988898868</v>
      </c>
      <c r="AD20" s="5"/>
      <c r="AE20" s="5"/>
      <c r="AF20" s="5"/>
      <c r="AG20" s="5"/>
      <c r="AH20" s="13">
        <v>0.02</v>
      </c>
      <c r="AJ20" s="3">
        <v>1.7999999999999999E-2</v>
      </c>
      <c r="AK20">
        <f t="shared" si="18"/>
        <v>7.9140510709171199</v>
      </c>
      <c r="AL20" s="6">
        <f t="shared" si="19"/>
        <v>790.7805256680906</v>
      </c>
      <c r="AO20" s="5">
        <f t="shared" si="1"/>
        <v>82.191495104940032</v>
      </c>
      <c r="AP20" s="5">
        <f t="shared" si="20"/>
        <v>5626.6828607343832</v>
      </c>
      <c r="AQ20" s="5">
        <f t="shared" si="21"/>
        <v>5399.3098885054815</v>
      </c>
      <c r="AR20" s="6">
        <f t="shared" si="22"/>
        <v>409318.39396193641</v>
      </c>
      <c r="AS20" s="5"/>
      <c r="AT20" s="5"/>
      <c r="AV20" s="3">
        <f t="shared" si="49"/>
        <v>34049.997247160303</v>
      </c>
      <c r="AW20" s="5">
        <f t="shared" si="2"/>
        <v>549.58687992479997</v>
      </c>
      <c r="AX20" s="5">
        <v>467.39538481985994</v>
      </c>
      <c r="AZ20">
        <f t="shared" si="24"/>
        <v>0</v>
      </c>
      <c r="BA20" s="5">
        <f t="shared" si="25"/>
        <v>9.8579483720066392</v>
      </c>
      <c r="BB20" s="5">
        <f t="shared" si="26"/>
        <v>9.8579483720066392</v>
      </c>
      <c r="BO20">
        <f t="shared" ref="BO20:CT20" si="58">IF((BO$8-$B20)&gt;0,_xlfn.LOGNORM.DIST((BO$8-$B20+1),$BD$2,$BD$3,TRUE)-_xlfn.LOGNORM.DIST((BO$8-$B20),$BD$2,$BD$3,TRUE),_xlfn.LOGNORM.DIST((BO$8-$B20+1),$BD$2,$BD$3,TRUE))*$AW20</f>
        <v>6.6845017434796103</v>
      </c>
      <c r="BP20">
        <f t="shared" si="58"/>
        <v>28.180853087711402</v>
      </c>
      <c r="BQ20">
        <f t="shared" si="58"/>
        <v>39.433697884642669</v>
      </c>
      <c r="BR20">
        <f t="shared" si="58"/>
        <v>41.957570976323282</v>
      </c>
      <c r="BS20">
        <f t="shared" si="58"/>
        <v>40.464579543113217</v>
      </c>
      <c r="BT20">
        <f t="shared" si="58"/>
        <v>37.378777532339562</v>
      </c>
      <c r="BU20">
        <f t="shared" si="58"/>
        <v>33.821119061634462</v>
      </c>
      <c r="BV20">
        <f t="shared" si="58"/>
        <v>30.293336627156418</v>
      </c>
      <c r="BW20">
        <f t="shared" si="58"/>
        <v>27.006950322771644</v>
      </c>
      <c r="BX20">
        <f t="shared" si="58"/>
        <v>24.036980271211881</v>
      </c>
      <c r="BY20">
        <f t="shared" si="58"/>
        <v>21.394801818798538</v>
      </c>
      <c r="BZ20">
        <f t="shared" si="58"/>
        <v>19.063291340549441</v>
      </c>
      <c r="CA20">
        <f t="shared" si="58"/>
        <v>17.013944440319971</v>
      </c>
      <c r="CB20">
        <f t="shared" si="58"/>
        <v>15.215170157669471</v>
      </c>
      <c r="CC20">
        <f t="shared" si="58"/>
        <v>13.636190123835476</v>
      </c>
      <c r="CD20">
        <f t="shared" si="58"/>
        <v>12.248730073495672</v>
      </c>
      <c r="CE20">
        <f t="shared" si="58"/>
        <v>11.027606944318892</v>
      </c>
      <c r="CF20">
        <f t="shared" si="58"/>
        <v>9.9507761978227993</v>
      </c>
      <c r="CG20">
        <f t="shared" si="58"/>
        <v>8.999130341637029</v>
      </c>
      <c r="CH20">
        <f t="shared" si="58"/>
        <v>8.1561981187891135</v>
      </c>
      <c r="CI20">
        <f t="shared" si="58"/>
        <v>7.4078197512860919</v>
      </c>
      <c r="CJ20">
        <f t="shared" si="58"/>
        <v>6.7418346251150094</v>
      </c>
      <c r="CK20">
        <f t="shared" si="58"/>
        <v>6.1477973239810062</v>
      </c>
      <c r="CL20">
        <f t="shared" si="58"/>
        <v>5.6167273186047275</v>
      </c>
      <c r="CM20">
        <f t="shared" si="58"/>
        <v>5.1408923136651374</v>
      </c>
      <c r="CN20">
        <f t="shared" si="58"/>
        <v>4.7136227830144568</v>
      </c>
      <c r="CO20">
        <f t="shared" si="58"/>
        <v>4.3291542509008751</v>
      </c>
      <c r="CP20">
        <f t="shared" si="58"/>
        <v>3.9824936760369005</v>
      </c>
      <c r="CQ20">
        <f t="shared" si="58"/>
        <v>3.6693064714790724</v>
      </c>
      <c r="CR20">
        <f t="shared" si="58"/>
        <v>3.3858210336590475</v>
      </c>
      <c r="CS20">
        <f t="shared" si="58"/>
        <v>3.1287480462981114</v>
      </c>
      <c r="CT20">
        <f t="shared" si="58"/>
        <v>2.8952122124860318</v>
      </c>
      <c r="CU20">
        <f t="shared" ref="CU20:DW20" si="59">IF((CU$8-$B20)&gt;0,_xlfn.LOGNORM.DIST((CU$8-$B20+1),$BD$2,$BD$3,TRUE)-_xlfn.LOGNORM.DIST((CU$8-$B20),$BD$2,$BD$3,TRUE),_xlfn.LOGNORM.DIST((CU$8-$B20+1),$BD$2,$BD$3,TRUE))*$AW20</f>
        <v>2.6826944244072721</v>
      </c>
      <c r="CV20">
        <f t="shared" si="59"/>
        <v>2.488982694815324</v>
      </c>
      <c r="CW20">
        <f t="shared" si="59"/>
        <v>2.31213044570333</v>
      </c>
      <c r="CX20">
        <f t="shared" si="59"/>
        <v>2.1504209801405656</v>
      </c>
      <c r="CY20">
        <f t="shared" si="59"/>
        <v>2.0023371572023869</v>
      </c>
      <c r="CZ20">
        <f t="shared" si="59"/>
        <v>1.866535452121997</v>
      </c>
      <c r="DA20">
        <f t="shared" si="59"/>
        <v>1.741823718890384</v>
      </c>
      <c r="DB20">
        <f t="shared" si="59"/>
        <v>1.6271420848414735</v>
      </c>
      <c r="DC20">
        <f t="shared" si="59"/>
        <v>1.5215464999934587</v>
      </c>
      <c r="DD20">
        <f t="shared" si="59"/>
        <v>1.4241945413246251</v>
      </c>
      <c r="DE20">
        <f t="shared" si="59"/>
        <v>1.3343331364388613</v>
      </c>
      <c r="DF20">
        <f t="shared" si="59"/>
        <v>1.251287924505853</v>
      </c>
      <c r="DG20">
        <f t="shared" si="59"/>
        <v>1.174454016817261</v>
      </c>
      <c r="DH20">
        <f t="shared" si="59"/>
        <v>1.1032879563575213</v>
      </c>
      <c r="DI20">
        <f t="shared" si="59"/>
        <v>1.0373007067094289</v>
      </c>
      <c r="DJ20">
        <f t="shared" si="59"/>
        <v>0.97605152648049442</v>
      </c>
      <c r="DK20">
        <f t="shared" si="59"/>
        <v>0.91914260710286944</v>
      </c>
      <c r="DL20">
        <f t="shared" si="59"/>
        <v>0.86621437004221191</v>
      </c>
      <c r="DM20">
        <f t="shared" si="59"/>
        <v>0.81694133474939046</v>
      </c>
      <c r="DN20">
        <f t="shared" si="59"/>
        <v>0.77102848157924331</v>
      </c>
      <c r="DO20">
        <f t="shared" si="59"/>
        <v>0.72820804478185441</v>
      </c>
      <c r="DP20">
        <f t="shared" si="59"/>
        <v>0.68823667988655757</v>
      </c>
      <c r="DQ20">
        <f t="shared" si="59"/>
        <v>0.65089295760392329</v>
      </c>
      <c r="DR20">
        <f t="shared" si="59"/>
        <v>0.6159751430074859</v>
      </c>
      <c r="DS20">
        <f t="shared" si="59"/>
        <v>0.58329922440312554</v>
      </c>
      <c r="DT20">
        <f t="shared" si="59"/>
        <v>0.55269716110894396</v>
      </c>
      <c r="DU20">
        <f t="shared" si="59"/>
        <v>0.52401532348903201</v>
      </c>
      <c r="DV20">
        <f t="shared" si="59"/>
        <v>0.49711310210230902</v>
      </c>
      <c r="DW20" s="4">
        <f t="shared" si="59"/>
        <v>0.47186166585603445</v>
      </c>
      <c r="DZ20" s="8">
        <f t="shared" si="30"/>
        <v>680.99994494320606</v>
      </c>
      <c r="EB20" s="3">
        <f t="shared" si="31"/>
        <v>6589.8377139007553</v>
      </c>
      <c r="EF20" s="3">
        <f t="shared" si="32"/>
        <v>34840.777772828391</v>
      </c>
      <c r="EG20">
        <f t="shared" si="33"/>
        <v>0.92999999999999994</v>
      </c>
      <c r="EH20">
        <f t="shared" si="34"/>
        <v>32401.923328730401</v>
      </c>
      <c r="EI20" s="4">
        <f>SUM($EH$10:EH20)</f>
        <v>350077.05492204067</v>
      </c>
      <c r="EJ20" s="4">
        <f t="shared" si="42"/>
        <v>350.07705492204065</v>
      </c>
      <c r="EN20" s="3">
        <f t="shared" si="35"/>
        <v>434.67770788246969</v>
      </c>
      <c r="EO20">
        <v>8.3012829275980806</v>
      </c>
      <c r="EP20">
        <f t="shared" si="36"/>
        <v>442.97899081006778</v>
      </c>
      <c r="EQ20">
        <f>SUM($EP$10:EP20)</f>
        <v>4731.7146921067133</v>
      </c>
      <c r="ER20">
        <f t="shared" si="37"/>
        <v>113087981.14135043</v>
      </c>
      <c r="ES20" s="4">
        <f t="shared" si="38"/>
        <v>67.281694380046446</v>
      </c>
    </row>
    <row r="21" spans="1:149" x14ac:dyDescent="0.25">
      <c r="A21" s="41"/>
      <c r="B21" s="39">
        <v>2001</v>
      </c>
      <c r="C21">
        <v>284767466</v>
      </c>
      <c r="D21" s="40">
        <f t="shared" si="6"/>
        <v>284.76746600000001</v>
      </c>
      <c r="E21" s="12">
        <f t="shared" si="7"/>
        <v>931.18961382000009</v>
      </c>
      <c r="F21" s="5">
        <f t="shared" si="8"/>
        <v>573.6128021131201</v>
      </c>
      <c r="G21" s="13">
        <f t="shared" si="9"/>
        <v>186.23792276400002</v>
      </c>
      <c r="H21">
        <v>664</v>
      </c>
      <c r="I21" s="13">
        <f t="shared" si="0"/>
        <v>83.807065243800011</v>
      </c>
      <c r="J21">
        <v>88200</v>
      </c>
      <c r="K21" s="15">
        <v>0.61599999999999999</v>
      </c>
      <c r="L21" s="14">
        <f t="shared" si="10"/>
        <v>-4477.1626430533252</v>
      </c>
      <c r="N21" s="7">
        <f t="shared" si="11"/>
        <v>843.94985366578419</v>
      </c>
      <c r="O21" s="5">
        <f t="shared" si="12"/>
        <v>744.95169105600007</v>
      </c>
      <c r="P21">
        <v>88200</v>
      </c>
      <c r="Q21" s="5">
        <v>0.61599999999999999</v>
      </c>
      <c r="R21" s="5">
        <f t="shared" si="13"/>
        <v>45852.808289486464</v>
      </c>
      <c r="S21" s="5">
        <f t="shared" si="14"/>
        <v>519.87310985812303</v>
      </c>
      <c r="T21" s="5">
        <f t="shared" si="15"/>
        <v>458.89024169049605</v>
      </c>
      <c r="U21" s="6">
        <f t="shared" si="16"/>
        <v>41163.195047671266</v>
      </c>
      <c r="W21" s="9">
        <f t="shared" si="17"/>
        <v>41163.195047671266</v>
      </c>
      <c r="AA21" s="10">
        <v>0.05</v>
      </c>
      <c r="AB21">
        <v>0.36</v>
      </c>
      <c r="AC21" s="6">
        <f t="shared" si="39"/>
        <v>612.89995044888542</v>
      </c>
      <c r="AD21" s="5"/>
      <c r="AE21" s="5"/>
      <c r="AF21" s="5"/>
      <c r="AG21" s="5"/>
      <c r="AH21" s="13">
        <v>0.02</v>
      </c>
      <c r="AJ21" s="3">
        <v>1.7999999999999999E-2</v>
      </c>
      <c r="AK21">
        <f t="shared" si="18"/>
        <v>8.2600243504289281</v>
      </c>
      <c r="AL21" s="6">
        <f t="shared" si="19"/>
        <v>825.3505492107563</v>
      </c>
      <c r="AO21" s="5">
        <f t="shared" si="1"/>
        <v>100.90239922341789</v>
      </c>
      <c r="AP21" s="5">
        <f t="shared" si="20"/>
        <v>5727.5852599578011</v>
      </c>
      <c r="AQ21" s="5">
        <f t="shared" si="21"/>
        <v>6765.392656789656</v>
      </c>
      <c r="AR21" s="6">
        <f t="shared" si="22"/>
        <v>416083.7866187261</v>
      </c>
      <c r="AS21" s="5"/>
      <c r="AT21" s="5"/>
      <c r="AV21" s="3">
        <f t="shared" si="49"/>
        <v>34387.767661506165</v>
      </c>
      <c r="AW21" s="5">
        <f t="shared" si="2"/>
        <v>573.6128021131201</v>
      </c>
      <c r="AX21" s="5">
        <v>472.71040288970221</v>
      </c>
      <c r="AZ21">
        <f t="shared" si="24"/>
        <v>0</v>
      </c>
      <c r="BA21" s="5">
        <f t="shared" si="25"/>
        <v>10.034729375446068</v>
      </c>
      <c r="BB21" s="5">
        <f t="shared" si="26"/>
        <v>10.034729375446068</v>
      </c>
      <c r="BP21">
        <f t="shared" ref="BP21:CU21" si="60">IF((BP$8-$B21)&gt;0,_xlfn.LOGNORM.DIST((BP$8-$B21+1),$BD$2,$BD$3,TRUE)-_xlfn.LOGNORM.DIST((BP$8-$B21),$BD$2,$BD$3,TRUE),_xlfn.LOGNORM.DIST((BP$8-$B21+1),$BD$2,$BD$3,TRUE))*$AW21</f>
        <v>6.9767236370926939</v>
      </c>
      <c r="BQ21">
        <f t="shared" si="60"/>
        <v>29.412816601066158</v>
      </c>
      <c r="BR21">
        <f t="shared" si="60"/>
        <v>41.157594490587456</v>
      </c>
      <c r="BS21">
        <f t="shared" si="60"/>
        <v>43.791802054812635</v>
      </c>
      <c r="BT21">
        <f t="shared" si="60"/>
        <v>42.233542513297216</v>
      </c>
      <c r="BU21">
        <f t="shared" si="60"/>
        <v>39.012840559115965</v>
      </c>
      <c r="BV21">
        <f t="shared" si="60"/>
        <v>35.299654311617005</v>
      </c>
      <c r="BW21">
        <f t="shared" si="60"/>
        <v>31.6176501710464</v>
      </c>
      <c r="BX21">
        <f t="shared" si="60"/>
        <v>28.187595113796355</v>
      </c>
      <c r="BY21">
        <f t="shared" si="60"/>
        <v>25.087788867147328</v>
      </c>
      <c r="BZ21">
        <f t="shared" si="60"/>
        <v>22.330104065830561</v>
      </c>
      <c r="CA21">
        <f t="shared" si="60"/>
        <v>19.896668502798995</v>
      </c>
      <c r="CB21">
        <f t="shared" si="60"/>
        <v>17.757731674279164</v>
      </c>
      <c r="CC21">
        <f t="shared" si="60"/>
        <v>15.880321578933815</v>
      </c>
      <c r="CD21">
        <f t="shared" si="60"/>
        <v>14.232314330631024</v>
      </c>
      <c r="CE21">
        <f t="shared" si="60"/>
        <v>12.784199616894908</v>
      </c>
      <c r="CF21">
        <f t="shared" si="60"/>
        <v>11.509693464295202</v>
      </c>
      <c r="CG21">
        <f t="shared" si="60"/>
        <v>10.385787627999211</v>
      </c>
      <c r="CH21">
        <f t="shared" si="60"/>
        <v>9.3925393061674534</v>
      </c>
      <c r="CI21">
        <f t="shared" si="60"/>
        <v>8.5127571788987062</v>
      </c>
      <c r="CJ21">
        <f t="shared" si="60"/>
        <v>7.7316624546523975</v>
      </c>
      <c r="CK21">
        <f t="shared" si="60"/>
        <v>7.0365629019830802</v>
      </c>
      <c r="CL21">
        <f t="shared" si="60"/>
        <v>6.4165564693153003</v>
      </c>
      <c r="CM21">
        <f t="shared" si="60"/>
        <v>5.8622700315753757</v>
      </c>
      <c r="CN21">
        <f t="shared" si="60"/>
        <v>5.3656332658573582</v>
      </c>
      <c r="CO21">
        <f t="shared" si="60"/>
        <v>4.9196850787979622</v>
      </c>
      <c r="CP21">
        <f t="shared" si="60"/>
        <v>4.5184089929129332</v>
      </c>
      <c r="CQ21">
        <f t="shared" si="60"/>
        <v>4.1565936894670461</v>
      </c>
      <c r="CR21">
        <f t="shared" si="60"/>
        <v>3.8297150892774416</v>
      </c>
      <c r="CS21">
        <f t="shared" si="60"/>
        <v>3.5338367081041886</v>
      </c>
      <c r="CT21">
        <f t="shared" si="60"/>
        <v>3.2655254328279768</v>
      </c>
      <c r="CU21">
        <f t="shared" si="60"/>
        <v>3.0217802691059088</v>
      </c>
      <c r="CV21">
        <f t="shared" ref="CV21:DW21" si="61">IF((CV$8-$B21)&gt;0,_xlfn.LOGNORM.DIST((CV$8-$B21+1),$BD$2,$BD$3,TRUE)-_xlfn.LOGNORM.DIST((CV$8-$B21),$BD$2,$BD$3,TRUE),_xlfn.LOGNORM.DIST((CV$8-$B21+1),$BD$2,$BD$3,TRUE))*$AW21</f>
        <v>2.7999719829702943</v>
      </c>
      <c r="CW21">
        <f t="shared" si="61"/>
        <v>2.597791887207054</v>
      </c>
      <c r="CX21">
        <f t="shared" si="61"/>
        <v>2.4132083065600436</v>
      </c>
      <c r="CY21">
        <f t="shared" si="61"/>
        <v>2.2444294964065614</v>
      </c>
      <c r="CZ21">
        <f t="shared" si="61"/>
        <v>2.0898719919864872</v>
      </c>
      <c r="DA21">
        <f t="shared" si="61"/>
        <v>1.9481335345590454</v>
      </c>
      <c r="DB21">
        <f t="shared" si="61"/>
        <v>1.8179698618651889</v>
      </c>
      <c r="DC21">
        <f t="shared" si="61"/>
        <v>1.6982747674941077</v>
      </c>
      <c r="DD21">
        <f t="shared" si="61"/>
        <v>1.588062931062111</v>
      </c>
      <c r="DE21">
        <f t="shared" si="61"/>
        <v>1.4864551019034689</v>
      </c>
      <c r="DF21">
        <f t="shared" si="61"/>
        <v>1.392665286059616</v>
      </c>
      <c r="DG21">
        <f t="shared" si="61"/>
        <v>1.3059896421186821</v>
      </c>
      <c r="DH21">
        <f t="shared" si="61"/>
        <v>1.22579683785708</v>
      </c>
      <c r="DI21">
        <f t="shared" si="61"/>
        <v>1.1515196583122398</v>
      </c>
      <c r="DJ21">
        <f t="shared" si="61"/>
        <v>1.0826476881888636</v>
      </c>
      <c r="DK21">
        <f t="shared" si="61"/>
        <v>1.0187209184976769</v>
      </c>
      <c r="DL21">
        <f t="shared" si="61"/>
        <v>0.959324149939636</v>
      </c>
      <c r="DM21">
        <f t="shared" si="61"/>
        <v>0.90408208452601946</v>
      </c>
      <c r="DN21">
        <f t="shared" si="61"/>
        <v>0.85265501289213808</v>
      </c>
      <c r="DO21">
        <f t="shared" si="61"/>
        <v>0.80473501821624649</v>
      </c>
      <c r="DP21">
        <f t="shared" si="61"/>
        <v>0.76004262901216124</v>
      </c>
      <c r="DQ21">
        <f t="shared" si="61"/>
        <v>0.7183238626816868</v>
      </c>
      <c r="DR21">
        <f t="shared" si="61"/>
        <v>0.67934760985919029</v>
      </c>
      <c r="DS21">
        <f t="shared" si="61"/>
        <v>0.64290331650730126</v>
      </c>
      <c r="DT21">
        <f t="shared" si="61"/>
        <v>0.6087989266156939</v>
      </c>
      <c r="DU21">
        <f t="shared" si="61"/>
        <v>0.57685905338032761</v>
      </c>
      <c r="DV21">
        <f t="shared" si="61"/>
        <v>0.5469233510412137</v>
      </c>
      <c r="DW21" s="4">
        <f t="shared" si="61"/>
        <v>0.51884506322834389</v>
      </c>
      <c r="DZ21" s="8">
        <f t="shared" si="30"/>
        <v>687.75535323012332</v>
      </c>
      <c r="EB21" s="3">
        <f t="shared" si="31"/>
        <v>6877.9212434229694</v>
      </c>
      <c r="EF21" s="3">
        <f t="shared" si="32"/>
        <v>35213.118210716922</v>
      </c>
      <c r="EG21">
        <f t="shared" si="33"/>
        <v>0.92999999999999994</v>
      </c>
      <c r="EH21">
        <f t="shared" si="34"/>
        <v>32748.199935966735</v>
      </c>
      <c r="EI21" s="4">
        <f>SUM($EH$10:EH21)</f>
        <v>382825.25485800742</v>
      </c>
      <c r="EJ21" s="4">
        <f t="shared" si="42"/>
        <v>382.82525485800744</v>
      </c>
      <c r="EN21" s="3">
        <f t="shared" si="35"/>
        <v>439.62067468742305</v>
      </c>
      <c r="EO21">
        <v>8.6641845632939507</v>
      </c>
      <c r="EP21">
        <f t="shared" si="36"/>
        <v>448.28485925071698</v>
      </c>
      <c r="EQ21">
        <f>SUM($EP$10:EP21)</f>
        <v>5179.9995513574304</v>
      </c>
      <c r="ER21">
        <f t="shared" si="37"/>
        <v>123801989.27744259</v>
      </c>
      <c r="ES21" s="4">
        <f t="shared" si="38"/>
        <v>73.655993520614459</v>
      </c>
    </row>
    <row r="22" spans="1:149" x14ac:dyDescent="0.25">
      <c r="A22" s="41"/>
      <c r="B22" s="39">
        <v>2002</v>
      </c>
      <c r="C22">
        <v>287545631</v>
      </c>
      <c r="D22" s="40">
        <f t="shared" si="6"/>
        <v>287.54563100000001</v>
      </c>
      <c r="E22" s="11">
        <v>1029.5842785882355</v>
      </c>
      <c r="F22" s="5">
        <f t="shared" si="8"/>
        <v>640.40142128188245</v>
      </c>
      <c r="G22" s="13">
        <f t="shared" si="9"/>
        <v>205.91685571764711</v>
      </c>
      <c r="H22">
        <v>664</v>
      </c>
      <c r="I22" s="13">
        <f t="shared" si="0"/>
        <v>92.662585072941198</v>
      </c>
      <c r="J22">
        <v>88200</v>
      </c>
      <c r="K22" s="15">
        <v>0.622</v>
      </c>
      <c r="L22" s="14">
        <f t="shared" si="10"/>
        <v>-4998.4611733893498</v>
      </c>
      <c r="N22" s="7">
        <f t="shared" si="11"/>
        <v>933.12628100155769</v>
      </c>
      <c r="O22" s="5">
        <f t="shared" si="12"/>
        <v>823.66742287058844</v>
      </c>
      <c r="P22">
        <v>88200</v>
      </c>
      <c r="Q22" s="5">
        <v>0.622</v>
      </c>
      <c r="R22" s="5">
        <f t="shared" si="13"/>
        <v>51191.681026257858</v>
      </c>
      <c r="S22" s="5">
        <f t="shared" si="14"/>
        <v>580.40454678296885</v>
      </c>
      <c r="T22" s="5">
        <f t="shared" si="15"/>
        <v>512.321137025506</v>
      </c>
      <c r="U22" s="6">
        <f t="shared" si="16"/>
        <v>45426.198671215512</v>
      </c>
      <c r="W22" s="9">
        <f t="shared" si="17"/>
        <v>45426.198671215512</v>
      </c>
      <c r="AA22" s="18">
        <v>1.2474484009979588E-2</v>
      </c>
      <c r="AB22">
        <v>0.36</v>
      </c>
      <c r="AC22" s="6">
        <f t="shared" si="39"/>
        <v>154.42907681964664</v>
      </c>
      <c r="AD22" s="5"/>
      <c r="AE22" s="5"/>
      <c r="AF22" s="5"/>
      <c r="AG22" s="5"/>
      <c r="AH22" s="20">
        <v>4.3093672034474938E-4</v>
      </c>
      <c r="AJ22" s="3">
        <v>1.7999999999999999E-2</v>
      </c>
      <c r="AK22">
        <f t="shared" si="18"/>
        <v>9.2217804664591068</v>
      </c>
      <c r="AL22" s="6">
        <f t="shared" si="19"/>
        <v>921.45025847264139</v>
      </c>
      <c r="AO22" s="5">
        <f t="shared" si="1"/>
        <v>160.79847451922137</v>
      </c>
      <c r="AP22" s="5">
        <f t="shared" si="20"/>
        <v>5888.3837344770227</v>
      </c>
      <c r="AQ22" s="5">
        <f>W22-AV22-BB22</f>
        <v>10574.845188052828</v>
      </c>
      <c r="AR22" s="6">
        <f t="shared" si="22"/>
        <v>426658.6318067789</v>
      </c>
      <c r="AS22" s="5"/>
      <c r="AT22" s="5"/>
      <c r="AV22" s="3">
        <f t="shared" si="49"/>
        <v>34841.037034859881</v>
      </c>
      <c r="AW22" s="5">
        <f t="shared" si="2"/>
        <v>640.40142128188245</v>
      </c>
      <c r="AX22" s="5">
        <v>479.60294676266108</v>
      </c>
      <c r="AZ22">
        <f t="shared" si="24"/>
        <v>0</v>
      </c>
      <c r="BA22" s="5">
        <f t="shared" si="25"/>
        <v>10.316448302803742</v>
      </c>
      <c r="BB22" s="5">
        <f t="shared" si="26"/>
        <v>10.316448302803742</v>
      </c>
      <c r="BQ22">
        <f t="shared" ref="BQ22:CV22" si="62">IF((BQ$8-$B22)&gt;0,_xlfn.LOGNORM.DIST((BQ$8-$B22+1),$BD$2,$BD$3,TRUE)-_xlfn.LOGNORM.DIST((BQ$8-$B22),$BD$2,$BD$3,TRUE),_xlfn.LOGNORM.DIST((BQ$8-$B22+1),$BD$2,$BD$3,TRUE))*$AW22</f>
        <v>7.7890586064778349</v>
      </c>
      <c r="BR22">
        <f t="shared" si="62"/>
        <v>32.837498545772576</v>
      </c>
      <c r="BS22">
        <f t="shared" si="62"/>
        <v>45.949779905919428</v>
      </c>
      <c r="BT22">
        <f t="shared" si="62"/>
        <v>48.890701485540326</v>
      </c>
      <c r="BU22">
        <f t="shared" si="62"/>
        <v>47.151005960202774</v>
      </c>
      <c r="BV22">
        <f t="shared" si="62"/>
        <v>43.555301503494604</v>
      </c>
      <c r="BW22">
        <f t="shared" si="62"/>
        <v>39.409770333997223</v>
      </c>
      <c r="BX22">
        <f t="shared" si="62"/>
        <v>35.299051960730878</v>
      </c>
      <c r="BY22">
        <f t="shared" si="62"/>
        <v>31.469618367815968</v>
      </c>
      <c r="BZ22">
        <f t="shared" si="62"/>
        <v>28.008886112992592</v>
      </c>
      <c r="CA22">
        <f t="shared" si="62"/>
        <v>24.930110221476777</v>
      </c>
      <c r="CB22">
        <f t="shared" si="62"/>
        <v>22.213337535402786</v>
      </c>
      <c r="CC22">
        <f t="shared" si="62"/>
        <v>19.825353550439122</v>
      </c>
      <c r="CD22">
        <f t="shared" si="62"/>
        <v>17.729347169551172</v>
      </c>
      <c r="CE22">
        <f t="shared" si="62"/>
        <v>15.889454161222144</v>
      </c>
      <c r="CF22">
        <f t="shared" si="62"/>
        <v>14.272728179097131</v>
      </c>
      <c r="CG22">
        <f t="shared" si="62"/>
        <v>12.849824874724234</v>
      </c>
      <c r="CH22">
        <f t="shared" si="62"/>
        <v>11.595057037780078</v>
      </c>
      <c r="CI22">
        <f t="shared" si="62"/>
        <v>10.486159825856515</v>
      </c>
      <c r="CJ22">
        <f t="shared" si="62"/>
        <v>9.5039402473433512</v>
      </c>
      <c r="CK22">
        <f t="shared" si="62"/>
        <v>8.6318987417835249</v>
      </c>
      <c r="CL22">
        <f t="shared" si="62"/>
        <v>7.8558652574854415</v>
      </c>
      <c r="CM22">
        <f t="shared" si="62"/>
        <v>7.1636683622598456</v>
      </c>
      <c r="CN22">
        <f t="shared" si="62"/>
        <v>6.5448435710099497</v>
      </c>
      <c r="CO22">
        <f t="shared" si="62"/>
        <v>5.9903808926056161</v>
      </c>
      <c r="CP22">
        <f t="shared" si="62"/>
        <v>5.4925087186254462</v>
      </c>
      <c r="CQ22">
        <f t="shared" si="62"/>
        <v>5.0445100428976239</v>
      </c>
      <c r="CR22">
        <f t="shared" si="62"/>
        <v>4.6405667666759269</v>
      </c>
      <c r="CS22">
        <f t="shared" si="62"/>
        <v>4.2756280495188212</v>
      </c>
      <c r="CT22">
        <f t="shared" si="62"/>
        <v>3.9452990625577398</v>
      </c>
      <c r="CU22">
        <f t="shared" si="62"/>
        <v>3.6457469580721864</v>
      </c>
      <c r="CV22">
        <f t="shared" si="62"/>
        <v>3.3736213208772647</v>
      </c>
      <c r="CW22">
        <f t="shared" ref="CW22:DW22" si="63">IF((CW$8-$B22)&gt;0,_xlfn.LOGNORM.DIST((CW$8-$B22+1),$BD$2,$BD$3,TRUE)-_xlfn.LOGNORM.DIST((CW$8-$B22),$BD$2,$BD$3,TRUE),_xlfn.LOGNORM.DIST((CW$8-$B22+1),$BD$2,$BD$3,TRUE))*$AW22</f>
        <v>3.1259867820907092</v>
      </c>
      <c r="CX22">
        <f t="shared" si="63"/>
        <v>2.9002658424521406</v>
      </c>
      <c r="CY22">
        <f t="shared" si="63"/>
        <v>2.6941902685524957</v>
      </c>
      <c r="CZ22">
        <f t="shared" si="63"/>
        <v>2.505759693944714</v>
      </c>
      <c r="DA22">
        <f t="shared" si="63"/>
        <v>2.3332062831146732</v>
      </c>
      <c r="DB22">
        <f t="shared" si="63"/>
        <v>2.1749645052944229</v>
      </c>
      <c r="DC22">
        <f t="shared" si="63"/>
        <v>2.0296452225215518</v>
      </c>
      <c r="DD22">
        <f t="shared" si="63"/>
        <v>1.8960134272175952</v>
      </c>
      <c r="DE22">
        <f t="shared" si="63"/>
        <v>1.7729690731984213</v>
      </c>
      <c r="DF22">
        <f t="shared" si="63"/>
        <v>1.6595305342277917</v>
      </c>
      <c r="DG22">
        <f t="shared" si="63"/>
        <v>1.5548202991233731</v>
      </c>
      <c r="DH22">
        <f t="shared" si="63"/>
        <v>1.4580525746830977</v>
      </c>
      <c r="DI22">
        <f t="shared" si="63"/>
        <v>1.368522519502108</v>
      </c>
      <c r="DJ22">
        <f t="shared" si="63"/>
        <v>1.2855968749312521</v>
      </c>
      <c r="DK22">
        <f t="shared" si="63"/>
        <v>1.2087057954591529</v>
      </c>
      <c r="DL22">
        <f t="shared" si="63"/>
        <v>1.1373357109398012</v>
      </c>
      <c r="DM22">
        <f t="shared" si="63"/>
        <v>1.0710230783346819</v>
      </c>
      <c r="DN22">
        <f t="shared" si="63"/>
        <v>1.0093489018255422</v>
      </c>
      <c r="DO22">
        <f t="shared" si="63"/>
        <v>0.95193391798038041</v>
      </c>
      <c r="DP22">
        <f t="shared" si="63"/>
        <v>0.89843435767557156</v>
      </c>
      <c r="DQ22">
        <f t="shared" si="63"/>
        <v>0.84853820915632183</v>
      </c>
      <c r="DR22">
        <f t="shared" si="63"/>
        <v>0.80196191735505584</v>
      </c>
      <c r="DS22">
        <f t="shared" si="63"/>
        <v>0.75844746368209481</v>
      </c>
      <c r="DT22">
        <f t="shared" si="63"/>
        <v>0.71775977823611858</v>
      </c>
      <c r="DU22">
        <f t="shared" si="63"/>
        <v>0.6796844429610357</v>
      </c>
      <c r="DV22">
        <f t="shared" si="63"/>
        <v>0.64402564988643829</v>
      </c>
      <c r="DW22" s="4">
        <f t="shared" si="63"/>
        <v>0.61060438339026402</v>
      </c>
      <c r="DZ22" s="8">
        <f t="shared" si="30"/>
        <v>15.014282233212469</v>
      </c>
      <c r="EB22" s="3">
        <f t="shared" si="31"/>
        <v>7678.752153938678</v>
      </c>
      <c r="EF22" s="3">
        <f t="shared" si="32"/>
        <v>35762.487293332524</v>
      </c>
      <c r="EG22">
        <f t="shared" si="33"/>
        <v>0.98709457926967559</v>
      </c>
      <c r="EH22">
        <f t="shared" si="34"/>
        <v>35300.957348449185</v>
      </c>
      <c r="EI22" s="4">
        <f>SUM($EH$10:EH22)</f>
        <v>418126.21220645658</v>
      </c>
      <c r="EJ22" s="4">
        <f t="shared" si="42"/>
        <v>418.12621220645656</v>
      </c>
      <c r="EN22" s="3">
        <f t="shared" si="35"/>
        <v>473.41346895118556</v>
      </c>
      <c r="EO22">
        <v>9.2217804664591068</v>
      </c>
      <c r="EP22">
        <f t="shared" si="36"/>
        <v>482.63524941764467</v>
      </c>
      <c r="EQ22">
        <f>SUM($EP$10:EP22)</f>
        <v>5662.6348007750748</v>
      </c>
      <c r="ER22">
        <f t="shared" si="37"/>
        <v>135336971.73852426</v>
      </c>
      <c r="ES22" s="4">
        <f t="shared" si="38"/>
        <v>80.518731335835014</v>
      </c>
    </row>
    <row r="23" spans="1:149" x14ac:dyDescent="0.25">
      <c r="A23" s="41"/>
      <c r="B23" s="39">
        <v>2003</v>
      </c>
      <c r="C23">
        <v>290192036</v>
      </c>
      <c r="D23" s="40">
        <f t="shared" si="6"/>
        <v>290.19203599999997</v>
      </c>
      <c r="E23" s="11">
        <v>1026.539557109244</v>
      </c>
      <c r="F23" s="5">
        <f t="shared" si="8"/>
        <v>638.50760452194982</v>
      </c>
      <c r="G23" s="13">
        <f t="shared" si="9"/>
        <v>205.30791142184881</v>
      </c>
      <c r="H23">
        <v>664</v>
      </c>
      <c r="I23" s="13">
        <f t="shared" si="0"/>
        <v>92.388560139831952</v>
      </c>
      <c r="J23">
        <v>88200</v>
      </c>
      <c r="K23" s="15">
        <v>0.622</v>
      </c>
      <c r="L23" s="14">
        <f t="shared" si="10"/>
        <v>-4983.679554814722</v>
      </c>
      <c r="N23" s="7">
        <f t="shared" si="11"/>
        <v>930.36680837803181</v>
      </c>
      <c r="O23" s="5">
        <f t="shared" si="12"/>
        <v>821.23164568739526</v>
      </c>
      <c r="P23">
        <v>88200</v>
      </c>
      <c r="Q23" s="5">
        <v>0.622</v>
      </c>
      <c r="R23" s="5">
        <f t="shared" si="13"/>
        <v>51040.295254342178</v>
      </c>
      <c r="S23" s="5">
        <f t="shared" si="14"/>
        <v>578.68815481113575</v>
      </c>
      <c r="T23" s="5">
        <f t="shared" si="15"/>
        <v>510.80608361755986</v>
      </c>
      <c r="U23" s="6">
        <f t="shared" si="16"/>
        <v>45386.120885388751</v>
      </c>
      <c r="W23" s="9">
        <f t="shared" si="17"/>
        <v>45386.120885388751</v>
      </c>
      <c r="AA23" s="18">
        <v>1.9790718835304824E-2</v>
      </c>
      <c r="AB23">
        <v>0.36</v>
      </c>
      <c r="AC23" s="6">
        <f t="shared" si="39"/>
        <v>248.23050043944755</v>
      </c>
      <c r="AD23" s="5"/>
      <c r="AE23" s="5"/>
      <c r="AF23" s="5"/>
      <c r="AG23" s="5"/>
      <c r="AH23" s="20">
        <v>1.5923566878980893E-3</v>
      </c>
      <c r="AJ23" s="3">
        <v>1.7999999999999999E-2</v>
      </c>
      <c r="AK23">
        <f t="shared" si="18"/>
        <v>9.194509505116077</v>
      </c>
      <c r="AL23" s="6">
        <f t="shared" si="19"/>
        <v>918.72531457815921</v>
      </c>
      <c r="AO23" s="5">
        <f t="shared" si="1"/>
        <v>149.20877958005781</v>
      </c>
      <c r="AP23" s="5">
        <f>AO23+AP22</f>
        <v>6037.5925140570807</v>
      </c>
      <c r="AQ23" s="5">
        <f t="shared" si="21"/>
        <v>9922.0847216580187</v>
      </c>
      <c r="AR23" s="6">
        <f t="shared" si="22"/>
        <v>436580.71652843693</v>
      </c>
      <c r="AS23" s="5"/>
      <c r="AT23" s="5"/>
      <c r="AV23" s="3">
        <f t="shared" si="49"/>
        <v>35453.458301646104</v>
      </c>
      <c r="AW23" s="5">
        <f t="shared" si="2"/>
        <v>638.50760452194982</v>
      </c>
      <c r="AX23" s="5">
        <v>489.29882494189201</v>
      </c>
      <c r="AZ23">
        <f t="shared" si="24"/>
        <v>0</v>
      </c>
      <c r="BA23" s="5">
        <f>AP23*$BE$5/1000</f>
        <v>10.577862084628004</v>
      </c>
      <c r="BB23" s="5">
        <f t="shared" si="26"/>
        <v>10.577862084628004</v>
      </c>
      <c r="BR23">
        <f t="shared" ref="BR23:CW23" si="64">IF((BR$8-$B23)&gt;0,_xlfn.LOGNORM.DIST((BR$8-$B23+1),$BD$2,$BD$3,TRUE)-_xlfn.LOGNORM.DIST((BR$8-$B23),$BD$2,$BD$3,TRUE),_xlfn.LOGNORM.DIST((BR$8-$B23+1),$BD$2,$BD$3,TRUE))*$AW23</f>
        <v>7.7660245387152775</v>
      </c>
      <c r="BS23">
        <f t="shared" si="64"/>
        <v>32.740390383558065</v>
      </c>
      <c r="BT23">
        <f t="shared" si="64"/>
        <v>45.813895661429683</v>
      </c>
      <c r="BU23">
        <f t="shared" si="64"/>
        <v>48.746120248208214</v>
      </c>
      <c r="BV23">
        <f t="shared" si="64"/>
        <v>47.011569409365066</v>
      </c>
      <c r="BW23">
        <f t="shared" si="64"/>
        <v>43.426498291587102</v>
      </c>
      <c r="BX23">
        <f t="shared" si="64"/>
        <v>39.293226427186049</v>
      </c>
      <c r="BY23">
        <f t="shared" si="64"/>
        <v>35.194664409436641</v>
      </c>
      <c r="BZ23">
        <f t="shared" si="64"/>
        <v>31.37655534716502</v>
      </c>
      <c r="CA23">
        <f t="shared" si="64"/>
        <v>27.926057286907771</v>
      </c>
      <c r="CB23">
        <f t="shared" si="64"/>
        <v>24.856386055671688</v>
      </c>
      <c r="CC23">
        <f t="shared" si="64"/>
        <v>22.147647501744867</v>
      </c>
      <c r="CD23">
        <f t="shared" si="64"/>
        <v>19.766725343852293</v>
      </c>
      <c r="CE23">
        <f t="shared" si="64"/>
        <v>17.676917343981533</v>
      </c>
      <c r="CF23">
        <f t="shared" si="64"/>
        <v>15.842465329535186</v>
      </c>
      <c r="CG23">
        <f t="shared" si="64"/>
        <v>14.230520384208996</v>
      </c>
      <c r="CH23">
        <f t="shared" si="64"/>
        <v>12.811824937651576</v>
      </c>
      <c r="CI23">
        <f t="shared" si="64"/>
        <v>11.56076774262741</v>
      </c>
      <c r="CJ23">
        <f t="shared" si="64"/>
        <v>10.455149799073958</v>
      </c>
      <c r="CK23">
        <f t="shared" si="64"/>
        <v>9.4758348735454767</v>
      </c>
      <c r="CL23">
        <f t="shared" si="64"/>
        <v>8.6063721986435855</v>
      </c>
      <c r="CM23">
        <f t="shared" si="64"/>
        <v>7.8326336268331893</v>
      </c>
      <c r="CN23">
        <f t="shared" si="64"/>
        <v>7.142483719696294</v>
      </c>
      <c r="CO23">
        <f t="shared" si="64"/>
        <v>6.5254889380656538</v>
      </c>
      <c r="CP23">
        <f t="shared" si="64"/>
        <v>5.9726659354618796</v>
      </c>
      <c r="CQ23">
        <f t="shared" si="64"/>
        <v>5.4762660859270555</v>
      </c>
      <c r="CR23">
        <f t="shared" si="64"/>
        <v>5.0295922470473817</v>
      </c>
      <c r="CS23">
        <f t="shared" si="64"/>
        <v>4.6268435255551843</v>
      </c>
      <c r="CT23">
        <f t="shared" si="64"/>
        <v>4.2629840175252491</v>
      </c>
      <c r="CU23">
        <f t="shared" si="64"/>
        <v>3.9336318906257</v>
      </c>
      <c r="CV23">
        <f t="shared" si="64"/>
        <v>3.6349656317630563</v>
      </c>
      <c r="CW23">
        <f t="shared" si="64"/>
        <v>3.3636447337136155</v>
      </c>
      <c r="CX23">
        <f t="shared" ref="CX23:DW23" si="65">IF((CX$8-$B23)&gt;0,_xlfn.LOGNORM.DIST((CX$8-$B23+1),$BD$2,$BD$3,TRUE)-_xlfn.LOGNORM.DIST((CX$8-$B23),$BD$2,$BD$3,TRUE),_xlfn.LOGNORM.DIST((CX$8-$B23+1),$BD$2,$BD$3,TRUE))*$AW23</f>
        <v>3.1167425081673299</v>
      </c>
      <c r="CY23">
        <f t="shared" si="65"/>
        <v>2.8916890781318778</v>
      </c>
      <c r="CZ23">
        <f t="shared" si="65"/>
        <v>2.6862229178948112</v>
      </c>
      <c r="DA23">
        <f t="shared" si="65"/>
        <v>2.4983495765604373</v>
      </c>
      <c r="DB23">
        <f t="shared" si="65"/>
        <v>2.3263064465176555</v>
      </c>
      <c r="DC23">
        <f t="shared" si="65"/>
        <v>2.1685326266390943</v>
      </c>
      <c r="DD23">
        <f t="shared" si="65"/>
        <v>2.0236430869681445</v>
      </c>
      <c r="DE23">
        <f t="shared" si="65"/>
        <v>1.8904064721325573</v>
      </c>
      <c r="DF23">
        <f t="shared" si="65"/>
        <v>1.7677259890420114</v>
      </c>
      <c r="DG23">
        <f t="shared" si="65"/>
        <v>1.6546229143586018</v>
      </c>
      <c r="DH23">
        <f t="shared" si="65"/>
        <v>1.5502223319057655</v>
      </c>
      <c r="DI23">
        <f t="shared" si="65"/>
        <v>1.4537407722556912</v>
      </c>
      <c r="DJ23">
        <f t="shared" si="65"/>
        <v>1.3644754783843815</v>
      </c>
      <c r="DK23">
        <f t="shared" si="65"/>
        <v>1.2817950643365967</v>
      </c>
      <c r="DL23">
        <f t="shared" si="65"/>
        <v>1.2051313697673951</v>
      </c>
      <c r="DM23">
        <f t="shared" si="65"/>
        <v>1.1339723432777866</v>
      </c>
      <c r="DN23">
        <f t="shared" si="65"/>
        <v>1.0678558126344202</v>
      </c>
      <c r="DO23">
        <f t="shared" si="65"/>
        <v>1.0063640210876599</v>
      </c>
      <c r="DP23">
        <f t="shared" si="65"/>
        <v>0.94911882677616199</v>
      </c>
      <c r="DQ23">
        <f t="shared" si="65"/>
        <v>0.89577747718199074</v>
      </c>
      <c r="DR23">
        <f t="shared" si="65"/>
        <v>0.84602888324207448</v>
      </c>
      <c r="DS23">
        <f t="shared" si="65"/>
        <v>0.7995903284274819</v>
      </c>
      <c r="DT23">
        <f t="shared" si="65"/>
        <v>0.75620455716984125</v>
      </c>
      <c r="DU23">
        <f t="shared" si="65"/>
        <v>0.71563719472450149</v>
      </c>
      <c r="DV23">
        <f t="shared" si="65"/>
        <v>0.67767445711970431</v>
      </c>
      <c r="DW23" s="4">
        <f t="shared" si="65"/>
        <v>0.64212111543499995</v>
      </c>
      <c r="DZ23" s="8">
        <f t="shared" si="30"/>
        <v>56.454551435742204</v>
      </c>
      <c r="EB23" s="3">
        <f t="shared" si="31"/>
        <v>7656.0442881513263</v>
      </c>
      <c r="EF23" s="3">
        <f t="shared" si="32"/>
        <v>36372.183616224262</v>
      </c>
      <c r="EG23">
        <f t="shared" si="33"/>
        <v>0.97861692447679705</v>
      </c>
      <c r="EH23">
        <f t="shared" si="34"/>
        <v>35594.434467014733</v>
      </c>
      <c r="EI23" s="4">
        <f>SUM($EH$10:EH23)</f>
        <v>453720.64667347132</v>
      </c>
      <c r="EJ23" s="4">
        <f t="shared" si="42"/>
        <v>453.72064667347132</v>
      </c>
      <c r="EN23" s="3">
        <f t="shared" si="35"/>
        <v>478.83611121474507</v>
      </c>
      <c r="EO23">
        <v>9.194509505116077</v>
      </c>
      <c r="EP23">
        <f t="shared" si="36"/>
        <v>488.03062071986113</v>
      </c>
      <c r="EQ23">
        <f>SUM($EP$10:EP23)</f>
        <v>6150.6654214949358</v>
      </c>
      <c r="ER23">
        <f t="shared" si="37"/>
        <v>147000903.57372895</v>
      </c>
      <c r="ES23" s="4">
        <f t="shared" si="38"/>
        <v>87.458187581190046</v>
      </c>
    </row>
    <row r="24" spans="1:149" x14ac:dyDescent="0.25">
      <c r="A24" s="41"/>
      <c r="B24" s="39">
        <v>2004</v>
      </c>
      <c r="C24">
        <v>293051784</v>
      </c>
      <c r="D24" s="40">
        <f t="shared" si="6"/>
        <v>293.051784</v>
      </c>
      <c r="E24" s="11">
        <v>1071.5077512605044</v>
      </c>
      <c r="F24" s="5">
        <f t="shared" si="8"/>
        <v>678.26440654789928</v>
      </c>
      <c r="G24" s="13">
        <f t="shared" si="9"/>
        <v>214.3015502521009</v>
      </c>
      <c r="H24">
        <v>664</v>
      </c>
      <c r="I24" s="13">
        <f t="shared" si="0"/>
        <v>96.435697613445399</v>
      </c>
      <c r="J24">
        <v>88200</v>
      </c>
      <c r="K24" s="15">
        <v>0.63300000000000001</v>
      </c>
      <c r="L24" s="14">
        <f t="shared" si="10"/>
        <v>-5293.9893459876648</v>
      </c>
      <c r="N24" s="7">
        <f t="shared" si="11"/>
        <v>971.12209635626164</v>
      </c>
      <c r="O24" s="5">
        <f t="shared" si="12"/>
        <v>857.20620100840347</v>
      </c>
      <c r="P24">
        <v>88200</v>
      </c>
      <c r="Q24" s="5">
        <v>0.63300000000000001</v>
      </c>
      <c r="R24" s="5">
        <f t="shared" si="13"/>
        <v>54218.329312827897</v>
      </c>
      <c r="S24" s="5">
        <f t="shared" si="14"/>
        <v>614.72028699351358</v>
      </c>
      <c r="T24" s="5">
        <f t="shared" si="15"/>
        <v>542.61152523831936</v>
      </c>
      <c r="U24" s="6">
        <f t="shared" si="16"/>
        <v>48221.03384236584</v>
      </c>
      <c r="W24" s="9">
        <f t="shared" si="17"/>
        <v>48221.03384236584</v>
      </c>
      <c r="AA24" s="18">
        <v>2.1360069747166519E-2</v>
      </c>
      <c r="AB24">
        <v>0.36</v>
      </c>
      <c r="AC24" s="6">
        <f t="shared" si="39"/>
        <v>272.62380315651143</v>
      </c>
      <c r="AD24" s="5"/>
      <c r="AE24" s="5"/>
      <c r="AF24" s="5"/>
      <c r="AG24" s="5"/>
      <c r="AH24" s="20">
        <v>2.179598953792502E-3</v>
      </c>
      <c r="AJ24" s="3">
        <v>1.7999999999999999E-2</v>
      </c>
      <c r="AK24">
        <f t="shared" si="18"/>
        <v>9.7670074542897485</v>
      </c>
      <c r="AL24" s="6">
        <f t="shared" si="19"/>
        <v>975.92992763090206</v>
      </c>
      <c r="AO24" s="5">
        <f t="shared" si="1"/>
        <v>177.69362442325564</v>
      </c>
      <c r="AP24" s="5">
        <f>AO24+AP23</f>
        <v>6215.2861384803364</v>
      </c>
      <c r="AQ24" s="5">
        <f t="shared" si="21"/>
        <v>12013.672271707241</v>
      </c>
      <c r="AR24" s="6">
        <f t="shared" si="22"/>
        <v>448594.3888001442</v>
      </c>
      <c r="AS24" s="5"/>
      <c r="AT24" s="5"/>
      <c r="AV24" s="3">
        <f t="shared" si="49"/>
        <v>36196.47238934398</v>
      </c>
      <c r="AW24" s="5">
        <f t="shared" si="2"/>
        <v>678.26440654789928</v>
      </c>
      <c r="AX24" s="5">
        <v>500.57078212464364</v>
      </c>
      <c r="AZ24">
        <f t="shared" si="24"/>
        <v>0</v>
      </c>
      <c r="BA24" s="5">
        <f t="shared" si="25"/>
        <v>10.88918131461755</v>
      </c>
      <c r="BB24" s="5">
        <f t="shared" si="26"/>
        <v>10.88918131461755</v>
      </c>
      <c r="BS24">
        <f t="shared" ref="BS24:CX24" si="66">IF((BS$8-$B24)&gt;0,_xlfn.LOGNORM.DIST((BS$8-$B24+1),$BD$2,$BD$3,TRUE)-_xlfn.LOGNORM.DIST((BS$8-$B24),$BD$2,$BD$3,TRUE),_xlfn.LOGNORM.DIST((BS$8-$B24+1),$BD$2,$BD$3,TRUE))*$AW24</f>
        <v>8.2495775894977061</v>
      </c>
      <c r="BT24">
        <f t="shared" si="66"/>
        <v>34.778977253178766</v>
      </c>
      <c r="BU24">
        <f t="shared" si="66"/>
        <v>48.666506917661557</v>
      </c>
      <c r="BV24">
        <f t="shared" si="66"/>
        <v>51.781307047106424</v>
      </c>
      <c r="BW24">
        <f t="shared" si="66"/>
        <v>49.938754057912277</v>
      </c>
      <c r="BX24">
        <f t="shared" si="66"/>
        <v>46.130457779354657</v>
      </c>
      <c r="BY24">
        <f t="shared" si="66"/>
        <v>41.739826926480085</v>
      </c>
      <c r="BZ24">
        <f t="shared" si="66"/>
        <v>37.38606713571005</v>
      </c>
      <c r="CA24">
        <f t="shared" si="66"/>
        <v>33.330222759047196</v>
      </c>
      <c r="CB24">
        <f t="shared" si="66"/>
        <v>29.664878755999215</v>
      </c>
      <c r="CC24">
        <f t="shared" si="66"/>
        <v>26.404073839650053</v>
      </c>
      <c r="CD24">
        <f t="shared" si="66"/>
        <v>23.526675145004699</v>
      </c>
      <c r="CE24">
        <f t="shared" si="66"/>
        <v>20.997504398997968</v>
      </c>
      <c r="CF24">
        <f t="shared" si="66"/>
        <v>18.777574091523192</v>
      </c>
      <c r="CG24">
        <f t="shared" si="66"/>
        <v>16.828899560308152</v>
      </c>
      <c r="CH24">
        <f t="shared" si="66"/>
        <v>15.11658654479109</v>
      </c>
      <c r="CI24">
        <f t="shared" si="66"/>
        <v>13.609555746227759</v>
      </c>
      <c r="CJ24">
        <f t="shared" si="66"/>
        <v>12.280601228018297</v>
      </c>
      <c r="CK24">
        <f t="shared" si="66"/>
        <v>11.106141764979572</v>
      </c>
      <c r="CL24">
        <f t="shared" si="66"/>
        <v>10.065849602313182</v>
      </c>
      <c r="CM24">
        <f t="shared" si="66"/>
        <v>9.1422496623415856</v>
      </c>
      <c r="CN24">
        <f t="shared" si="66"/>
        <v>8.3203341056347639</v>
      </c>
      <c r="CO24">
        <f t="shared" si="66"/>
        <v>7.5872118783063005</v>
      </c>
      <c r="CP24">
        <f t="shared" si="66"/>
        <v>6.9317997948132986</v>
      </c>
      <c r="CQ24">
        <f t="shared" si="66"/>
        <v>6.3445551588346722</v>
      </c>
      <c r="CR24">
        <f t="shared" si="66"/>
        <v>5.8172468746877923</v>
      </c>
      <c r="CS24">
        <f t="shared" si="66"/>
        <v>5.3427608010645624</v>
      </c>
      <c r="CT24">
        <f t="shared" si="66"/>
        <v>4.9149348509330011</v>
      </c>
      <c r="CU24">
        <f t="shared" si="66"/>
        <v>4.5284195588159903</v>
      </c>
      <c r="CV24">
        <f t="shared" si="66"/>
        <v>4.1785602567266107</v>
      </c>
      <c r="CW24">
        <f t="shared" si="66"/>
        <v>3.8612974843043149</v>
      </c>
      <c r="CX24">
        <f t="shared" si="66"/>
        <v>3.5730827369837592</v>
      </c>
      <c r="CY24">
        <f t="shared" ref="CY24:DW24" si="67">IF((CY$8-$B24)&gt;0,_xlfn.LOGNORM.DIST((CY$8-$B24+1),$BD$2,$BD$3,TRUE)-_xlfn.LOGNORM.DIST((CY$8-$B24),$BD$2,$BD$3,TRUE),_xlfn.LOGNORM.DIST((CY$8-$B24+1),$BD$2,$BD$3,TRUE))*$AW24</f>
        <v>3.3108070956295923</v>
      </c>
      <c r="CZ24">
        <f t="shared" si="67"/>
        <v>3.0717406693513167</v>
      </c>
      <c r="DA24">
        <f t="shared" si="67"/>
        <v>2.8534811180916124</v>
      </c>
      <c r="DB24">
        <f t="shared" si="67"/>
        <v>2.6539098060760962</v>
      </c>
      <c r="DC24">
        <f t="shared" si="67"/>
        <v>2.4711543765828536</v>
      </c>
      <c r="DD24">
        <f t="shared" si="67"/>
        <v>2.303556738667722</v>
      </c>
      <c r="DE24">
        <f t="shared" si="67"/>
        <v>2.1496456232104642</v>
      </c>
      <c r="DF24">
        <f t="shared" si="67"/>
        <v>2.0081130042535289</v>
      </c>
      <c r="DG24">
        <f t="shared" si="67"/>
        <v>1.8777937966683387</v>
      </c>
      <c r="DH24">
        <f t="shared" si="67"/>
        <v>1.7576483367151698</v>
      </c>
      <c r="DI24">
        <f t="shared" si="67"/>
        <v>1.6467472313890332</v>
      </c>
      <c r="DJ24">
        <f t="shared" si="67"/>
        <v>1.5442582283835511</v>
      </c>
      <c r="DK24">
        <f t="shared" si="67"/>
        <v>1.4494348133699144</v>
      </c>
      <c r="DL24">
        <f t="shared" si="67"/>
        <v>1.3616062870217565</v>
      </c>
      <c r="DM24">
        <f t="shared" si="67"/>
        <v>1.2801691123781123</v>
      </c>
      <c r="DN24">
        <f t="shared" si="67"/>
        <v>1.2045793550585635</v>
      </c>
      <c r="DO24">
        <f t="shared" si="67"/>
        <v>1.1343460655844251</v>
      </c>
      <c r="DP24">
        <f t="shared" si="67"/>
        <v>1.0690254754995863</v>
      </c>
      <c r="DQ24">
        <f t="shared" si="67"/>
        <v>1.0082158978650688</v>
      </c>
      <c r="DR24">
        <f t="shared" si="67"/>
        <v>0.95155323860975394</v>
      </c>
      <c r="DS24">
        <f t="shared" si="67"/>
        <v>0.89870703864865431</v>
      </c>
      <c r="DT24">
        <f t="shared" si="67"/>
        <v>0.84937697805236123</v>
      </c>
      <c r="DU24">
        <f t="shared" si="67"/>
        <v>0.80328978318376043</v>
      </c>
      <c r="DV24">
        <f t="shared" si="67"/>
        <v>0.76019648590846378</v>
      </c>
      <c r="DW24" s="4">
        <f t="shared" si="67"/>
        <v>0.71986999095351434</v>
      </c>
      <c r="DZ24" s="8">
        <f t="shared" si="30"/>
        <v>78.893793350793331</v>
      </c>
      <c r="EB24" s="3">
        <f t="shared" si="31"/>
        <v>8132.7493969241841</v>
      </c>
      <c r="EF24" s="3">
        <f t="shared" si="32"/>
        <v>37172.402316974883</v>
      </c>
      <c r="EG24">
        <f t="shared" si="33"/>
        <v>0.97646033129904097</v>
      </c>
      <c r="EH24">
        <f t="shared" si="34"/>
        <v>36297.376281614532</v>
      </c>
      <c r="EI24" s="4">
        <f>SUM($EH$10:EH24)</f>
        <v>490018.02295508585</v>
      </c>
      <c r="EJ24" s="4">
        <f t="shared" si="42"/>
        <v>490.01802295508583</v>
      </c>
      <c r="EN24" s="3">
        <f t="shared" si="35"/>
        <v>488.78751175204957</v>
      </c>
      <c r="EO24">
        <v>9.7670074542897485</v>
      </c>
      <c r="EP24">
        <f t="shared" si="36"/>
        <v>498.55451920633931</v>
      </c>
      <c r="EQ24">
        <f>SUM($EP$10:EP24)</f>
        <v>6649.2199407012749</v>
      </c>
      <c r="ER24">
        <f t="shared" si="37"/>
        <v>158916356.58276045</v>
      </c>
      <c r="ES24" s="4">
        <f t="shared" si="38"/>
        <v>94.547286348913346</v>
      </c>
    </row>
    <row r="25" spans="1:149" x14ac:dyDescent="0.25">
      <c r="A25" s="41"/>
      <c r="B25" s="39">
        <v>2005</v>
      </c>
      <c r="C25">
        <v>295804899</v>
      </c>
      <c r="D25" s="40">
        <f t="shared" si="6"/>
        <v>295.80489899999998</v>
      </c>
      <c r="E25" s="11">
        <v>1148.0942069243697</v>
      </c>
      <c r="F25" s="5">
        <f t="shared" si="8"/>
        <v>694.59699518924367</v>
      </c>
      <c r="G25" s="13">
        <f t="shared" si="9"/>
        <v>229.61884138487395</v>
      </c>
      <c r="H25">
        <v>664</v>
      </c>
      <c r="I25" s="13">
        <f t="shared" si="0"/>
        <v>103.32847862319326</v>
      </c>
      <c r="J25">
        <v>88200</v>
      </c>
      <c r="K25" s="15">
        <v>0.60499999999999998</v>
      </c>
      <c r="L25" s="14">
        <f t="shared" si="10"/>
        <v>-5421.4684668510836</v>
      </c>
      <c r="N25" s="7">
        <f t="shared" si="11"/>
        <v>1040.5334461941843</v>
      </c>
      <c r="O25" s="5">
        <f t="shared" si="12"/>
        <v>918.47536553949578</v>
      </c>
      <c r="P25">
        <v>88200</v>
      </c>
      <c r="Q25" s="5">
        <v>0.60499999999999998</v>
      </c>
      <c r="R25" s="5">
        <f t="shared" si="13"/>
        <v>55523.905222367866</v>
      </c>
      <c r="S25" s="5">
        <f t="shared" si="14"/>
        <v>629.52273494748147</v>
      </c>
      <c r="T25" s="5">
        <f t="shared" si="15"/>
        <v>555.67759615139494</v>
      </c>
      <c r="U25" s="6">
        <f t="shared" si="16"/>
        <v>49617.34250051147</v>
      </c>
      <c r="W25" s="9">
        <f t="shared" si="17"/>
        <v>49617.34250051147</v>
      </c>
      <c r="AA25" s="18">
        <v>3.9471007121057985E-2</v>
      </c>
      <c r="AB25">
        <v>0.36</v>
      </c>
      <c r="AC25" s="6">
        <f t="shared" si="39"/>
        <v>514.33603899731099</v>
      </c>
      <c r="AD25" s="5"/>
      <c r="AE25" s="5"/>
      <c r="AF25" s="5"/>
      <c r="AG25" s="5"/>
      <c r="AH25" s="20">
        <v>6.1037639877924718E-3</v>
      </c>
      <c r="AJ25" s="3">
        <v>1.7999999999999999E-2</v>
      </c>
      <c r="AK25">
        <f t="shared" si="18"/>
        <v>10.002196730725109</v>
      </c>
      <c r="AL25" s="6">
        <f t="shared" si="19"/>
        <v>999.43029400262162</v>
      </c>
      <c r="AO25" s="5">
        <f t="shared" si="1"/>
        <v>181.10913558893947</v>
      </c>
      <c r="AP25" s="5">
        <f t="shared" si="20"/>
        <v>6396.3952740692757</v>
      </c>
      <c r="AQ25" s="5">
        <f t="shared" si="21"/>
        <v>12544.644814877638</v>
      </c>
      <c r="AR25" s="6">
        <f t="shared" si="22"/>
        <v>461139.03361502185</v>
      </c>
      <c r="AS25" s="5"/>
      <c r="AT25" s="5"/>
      <c r="AV25" s="3">
        <f t="shared" si="49"/>
        <v>37061.491201113662</v>
      </c>
      <c r="AW25" s="5">
        <f t="shared" si="2"/>
        <v>694.59699518924367</v>
      </c>
      <c r="AX25" s="5">
        <v>513.4878596003042</v>
      </c>
      <c r="AZ25">
        <f t="shared" si="24"/>
        <v>0</v>
      </c>
      <c r="BA25" s="5">
        <f t="shared" si="25"/>
        <v>11.206484520169372</v>
      </c>
      <c r="BB25" s="5">
        <f t="shared" si="26"/>
        <v>11.206484520169372</v>
      </c>
      <c r="BT25">
        <f t="shared" ref="BT25:CY25" si="68">IF((BT$8-$B25)&gt;0,_xlfn.LOGNORM.DIST((BT$8-$B25+1),$BD$2,$BD$3,TRUE)-_xlfn.LOGNORM.DIST((BT$8-$B25),$BD$2,$BD$3,TRUE),_xlfn.LOGNORM.DIST((BT$8-$B25+1),$BD$2,$BD$3,TRUE))*$AW25</f>
        <v>8.4482271956592285</v>
      </c>
      <c r="BU25">
        <f t="shared" si="68"/>
        <v>35.616454088700621</v>
      </c>
      <c r="BV25">
        <f t="shared" si="68"/>
        <v>49.838395093458345</v>
      </c>
      <c r="BW25">
        <f t="shared" si="68"/>
        <v>53.028199526126421</v>
      </c>
      <c r="BX25">
        <f t="shared" si="68"/>
        <v>51.141277910579682</v>
      </c>
      <c r="BY25">
        <f t="shared" si="68"/>
        <v>47.241277960206794</v>
      </c>
      <c r="BZ25">
        <f t="shared" si="68"/>
        <v>42.744920834651964</v>
      </c>
      <c r="CA25">
        <f t="shared" si="68"/>
        <v>38.286322625384066</v>
      </c>
      <c r="CB25">
        <f t="shared" si="68"/>
        <v>34.132813625371021</v>
      </c>
      <c r="CC25">
        <f t="shared" si="68"/>
        <v>30.379208237451778</v>
      </c>
      <c r="CD25">
        <f t="shared" si="68"/>
        <v>27.039883226543235</v>
      </c>
      <c r="CE25">
        <f t="shared" si="68"/>
        <v>24.093196848830488</v>
      </c>
      <c r="CF25">
        <f t="shared" si="68"/>
        <v>21.503123739380435</v>
      </c>
      <c r="CG25">
        <f t="shared" si="68"/>
        <v>19.229737569893121</v>
      </c>
      <c r="CH25">
        <f t="shared" si="68"/>
        <v>17.234139008451894</v>
      </c>
      <c r="CI25">
        <f t="shared" si="68"/>
        <v>15.480593541640509</v>
      </c>
      <c r="CJ25">
        <f t="shared" si="68"/>
        <v>13.937273482038041</v>
      </c>
      <c r="CK25">
        <f t="shared" si="68"/>
        <v>12.576317774824069</v>
      </c>
      <c r="CL25">
        <f t="shared" si="68"/>
        <v>11.373577359548186</v>
      </c>
      <c r="CM25">
        <f t="shared" si="68"/>
        <v>10.308234989623951</v>
      </c>
      <c r="CN25">
        <f t="shared" si="68"/>
        <v>9.3623947879740186</v>
      </c>
      <c r="CO25">
        <f t="shared" si="68"/>
        <v>8.5206875267991169</v>
      </c>
      <c r="CP25">
        <f t="shared" si="68"/>
        <v>7.7699117359824488</v>
      </c>
      <c r="CQ25">
        <f t="shared" si="68"/>
        <v>7.0987173471717613</v>
      </c>
      <c r="CR25">
        <f t="shared" si="68"/>
        <v>6.4973318761755783</v>
      </c>
      <c r="CS25">
        <f t="shared" si="68"/>
        <v>5.9573260227489291</v>
      </c>
      <c r="CT25">
        <f t="shared" si="68"/>
        <v>5.4714143372526287</v>
      </c>
      <c r="CU25">
        <f t="shared" si="68"/>
        <v>5.0332863497649356</v>
      </c>
      <c r="CV25">
        <f t="shared" si="68"/>
        <v>4.6374637798241238</v>
      </c>
      <c r="CW25">
        <f t="shared" si="68"/>
        <v>4.2791798751635195</v>
      </c>
      <c r="CX25">
        <f t="shared" si="68"/>
        <v>3.9542774237264298</v>
      </c>
      <c r="CY25">
        <f t="shared" si="68"/>
        <v>3.6591224730531522</v>
      </c>
      <c r="CZ25">
        <f t="shared" ref="CZ25:DW25" si="69">IF((CZ$8-$B25)&gt;0,_xlfn.LOGNORM.DIST((CZ$8-$B25+1),$BD$2,$BD$3,TRUE)-_xlfn.LOGNORM.DIST((CZ$8-$B25),$BD$2,$BD$3,TRUE),_xlfn.LOGNORM.DIST((CZ$8-$B25+1),$BD$2,$BD$3,TRUE))*$AW25</f>
        <v>3.3905312413192918</v>
      </c>
      <c r="DA25">
        <f t="shared" si="69"/>
        <v>3.1457081019352349</v>
      </c>
      <c r="DB25">
        <f t="shared" si="69"/>
        <v>2.9221928665597856</v>
      </c>
      <c r="DC25">
        <f t="shared" si="69"/>
        <v>2.717815882726176</v>
      </c>
      <c r="DD25">
        <f t="shared" si="69"/>
        <v>2.5306597074130588</v>
      </c>
      <c r="DE25">
        <f t="shared" si="69"/>
        <v>2.3590263228909949</v>
      </c>
      <c r="DF25">
        <f t="shared" si="69"/>
        <v>2.2014090319189581</v>
      </c>
      <c r="DG25">
        <f t="shared" si="69"/>
        <v>2.0564683113095699</v>
      </c>
      <c r="DH25">
        <f t="shared" si="69"/>
        <v>1.9230110207157372</v>
      </c>
      <c r="DI25">
        <f t="shared" si="69"/>
        <v>1.799972461322886</v>
      </c>
      <c r="DJ25">
        <f t="shared" si="69"/>
        <v>1.6864008603674991</v>
      </c>
      <c r="DK25">
        <f t="shared" si="69"/>
        <v>1.5814439249300771</v>
      </c>
      <c r="DL25">
        <f t="shared" si="69"/>
        <v>1.4843371646368797</v>
      </c>
      <c r="DM25">
        <f t="shared" si="69"/>
        <v>1.3943937297398259</v>
      </c>
      <c r="DN25">
        <f t="shared" si="69"/>
        <v>1.3109955501241863</v>
      </c>
      <c r="DO25">
        <f t="shared" si="69"/>
        <v>1.2335855934843125</v>
      </c>
      <c r="DP25">
        <f t="shared" si="69"/>
        <v>1.1616610882912954</v>
      </c>
      <c r="DQ25">
        <f t="shared" si="69"/>
        <v>1.0947675801565542</v>
      </c>
      <c r="DR25">
        <f t="shared" si="69"/>
        <v>1.032493709530439</v>
      </c>
      <c r="DS25">
        <f t="shared" si="69"/>
        <v>0.9744666149664043</v>
      </c>
      <c r="DT25">
        <f t="shared" si="69"/>
        <v>0.92034787993359746</v>
      </c>
      <c r="DU25">
        <f t="shared" si="69"/>
        <v>0.8698299528067982</v>
      </c>
      <c r="DV25">
        <f t="shared" si="69"/>
        <v>0.82263297952707115</v>
      </c>
      <c r="DW25" s="4">
        <f t="shared" si="69"/>
        <v>0.77850199681405741</v>
      </c>
      <c r="DZ25" s="8">
        <f t="shared" si="30"/>
        <v>226.21459532724512</v>
      </c>
      <c r="EB25" s="3">
        <f t="shared" si="31"/>
        <v>8328.58578335518</v>
      </c>
      <c r="EF25" s="3">
        <f t="shared" si="32"/>
        <v>38060.921495116287</v>
      </c>
      <c r="EG25">
        <f t="shared" si="33"/>
        <v>0.95442522889114956</v>
      </c>
      <c r="EH25">
        <f t="shared" si="34"/>
        <v>36326.303709784435</v>
      </c>
      <c r="EI25" s="4">
        <f>SUM($EH$10:EH25)</f>
        <v>526344.32666487026</v>
      </c>
      <c r="EJ25" s="4">
        <f t="shared" si="42"/>
        <v>526.34432666487021</v>
      </c>
      <c r="EN25" s="3">
        <f t="shared" si="35"/>
        <v>490.08576793184682</v>
      </c>
      <c r="EO25">
        <v>10.002196730725109</v>
      </c>
      <c r="EP25">
        <f t="shared" si="36"/>
        <v>500.08796466257195</v>
      </c>
      <c r="EQ25">
        <f>SUM($EP$10:EP25)</f>
        <v>7149.3079053638467</v>
      </c>
      <c r="ER25">
        <f t="shared" si="37"/>
        <v>170868458.93819591</v>
      </c>
      <c r="ES25" s="4">
        <f t="shared" si="38"/>
        <v>101.65818964527966</v>
      </c>
    </row>
    <row r="26" spans="1:149" x14ac:dyDescent="0.25">
      <c r="A26" s="41"/>
      <c r="B26" s="39">
        <v>2006</v>
      </c>
      <c r="C26">
        <v>298741143</v>
      </c>
      <c r="D26" s="40">
        <f t="shared" si="6"/>
        <v>298.74114300000002</v>
      </c>
      <c r="E26" s="11">
        <v>1094.6944763697481</v>
      </c>
      <c r="F26" s="5">
        <f t="shared" si="8"/>
        <v>652.43790791636991</v>
      </c>
      <c r="G26" s="13">
        <f t="shared" si="9"/>
        <v>218.93889527394964</v>
      </c>
      <c r="H26">
        <v>664</v>
      </c>
      <c r="I26" s="13">
        <f t="shared" si="0"/>
        <v>98.522502873277332</v>
      </c>
      <c r="J26">
        <v>88200</v>
      </c>
      <c r="K26" s="15">
        <v>0.59599999999999997</v>
      </c>
      <c r="L26" s="14">
        <f t="shared" si="10"/>
        <v>-5092.40835886885</v>
      </c>
      <c r="N26" s="7">
        <f t="shared" si="11"/>
        <v>992.13654172003658</v>
      </c>
      <c r="O26" s="5">
        <f t="shared" si="12"/>
        <v>875.75558109579856</v>
      </c>
      <c r="P26">
        <v>88200</v>
      </c>
      <c r="Q26" s="5">
        <v>0.59599999999999997</v>
      </c>
      <c r="R26" s="5">
        <f t="shared" si="13"/>
        <v>52153.840015905509</v>
      </c>
      <c r="S26" s="5">
        <f t="shared" si="14"/>
        <v>591.31337886514177</v>
      </c>
      <c r="T26" s="5">
        <f t="shared" si="15"/>
        <v>521.95032633309597</v>
      </c>
      <c r="U26" s="6">
        <f t="shared" si="16"/>
        <v>46803.006190034721</v>
      </c>
      <c r="W26" s="9">
        <f t="shared" si="17"/>
        <v>46803.006190034721</v>
      </c>
      <c r="AA26" s="18">
        <v>5.0992105824621291E-2</v>
      </c>
      <c r="AB26">
        <v>0.36</v>
      </c>
      <c r="AC26" s="6">
        <f t="shared" si="39"/>
        <v>680.34365328436513</v>
      </c>
      <c r="AD26" s="5"/>
      <c r="AE26" s="5"/>
      <c r="AF26" s="5"/>
      <c r="AG26" s="5"/>
      <c r="AH26" s="20">
        <v>4.4804779176445481E-3</v>
      </c>
      <c r="AJ26" s="3">
        <v>1.7999999999999999E-2</v>
      </c>
      <c r="AK26">
        <f t="shared" si="18"/>
        <v>9.3951058739957265</v>
      </c>
      <c r="AL26" s="6">
        <f t="shared" si="19"/>
        <v>938.76912028629908</v>
      </c>
      <c r="AO26" s="5">
        <f t="shared" si="1"/>
        <v>125.71450079553017</v>
      </c>
      <c r="AP26" s="5">
        <f t="shared" si="20"/>
        <v>6522.1097748648062</v>
      </c>
      <c r="AQ26" s="5">
        <f t="shared" si="21"/>
        <v>8818.2034294360928</v>
      </c>
      <c r="AR26" s="6">
        <f t="shared" si="22"/>
        <v>469957.23704445793</v>
      </c>
      <c r="AS26" s="5"/>
      <c r="AT26" s="5"/>
      <c r="AV26" s="3">
        <f t="shared" si="49"/>
        <v>37973.376024273064</v>
      </c>
      <c r="AW26" s="5">
        <f t="shared" si="2"/>
        <v>652.43790791636991</v>
      </c>
      <c r="AX26" s="5">
        <v>526.72340712083974</v>
      </c>
      <c r="AZ26">
        <f t="shared" si="24"/>
        <v>0</v>
      </c>
      <c r="BA26" s="5">
        <f t="shared" si="25"/>
        <v>11.426736325563141</v>
      </c>
      <c r="BB26" s="5">
        <f t="shared" si="26"/>
        <v>11.426736325563141</v>
      </c>
      <c r="BU26">
        <f t="shared" ref="BU26:CZ26" si="70">IF((BU$8-$B26)&gt;0,_xlfn.LOGNORM.DIST((BU$8-$B26+1),$BD$2,$BD$3,TRUE)-_xlfn.LOGNORM.DIST((BU$8-$B26),$BD$2,$BD$3,TRUE),_xlfn.LOGNORM.DIST((BU$8-$B26+1),$BD$2,$BD$3,TRUE))*$AW26</f>
        <v>7.9354556891458374</v>
      </c>
      <c r="BV26">
        <f t="shared" si="70"/>
        <v>33.454686608167925</v>
      </c>
      <c r="BW26">
        <f t="shared" si="70"/>
        <v>46.813416202335134</v>
      </c>
      <c r="BX26">
        <f t="shared" si="70"/>
        <v>49.80961305479245</v>
      </c>
      <c r="BY26">
        <f t="shared" si="70"/>
        <v>48.037219566516448</v>
      </c>
      <c r="BZ26">
        <f t="shared" si="70"/>
        <v>44.373933047688396</v>
      </c>
      <c r="CA26">
        <f t="shared" si="70"/>
        <v>40.150485701155326</v>
      </c>
      <c r="CB26">
        <f t="shared" si="70"/>
        <v>35.962505465073434</v>
      </c>
      <c r="CC26">
        <f t="shared" si="70"/>
        <v>32.061096819126135</v>
      </c>
      <c r="CD26">
        <f t="shared" si="70"/>
        <v>28.535319334628937</v>
      </c>
      <c r="CE26">
        <f t="shared" si="70"/>
        <v>25.398677167934295</v>
      </c>
      <c r="CF26">
        <f t="shared" si="70"/>
        <v>22.630842137152488</v>
      </c>
      <c r="CG26">
        <f t="shared" si="70"/>
        <v>20.197975463982335</v>
      </c>
      <c r="CH26">
        <f t="shared" si="70"/>
        <v>18.062574178662636</v>
      </c>
      <c r="CI26">
        <f t="shared" si="70"/>
        <v>16.188099973497238</v>
      </c>
      <c r="CJ26">
        <f t="shared" si="70"/>
        <v>14.540987268250149</v>
      </c>
      <c r="CK26">
        <f t="shared" si="70"/>
        <v>13.091340180937216</v>
      </c>
      <c r="CL26">
        <f t="shared" si="70"/>
        <v>11.812988704424411</v>
      </c>
      <c r="CM26">
        <f t="shared" si="70"/>
        <v>10.683249523656334</v>
      </c>
      <c r="CN26">
        <f t="shared" si="70"/>
        <v>9.6825689104920603</v>
      </c>
      <c r="CO26">
        <f t="shared" si="70"/>
        <v>8.7941371915792104</v>
      </c>
      <c r="CP26">
        <f t="shared" si="70"/>
        <v>8.0035179859643772</v>
      </c>
      <c r="CQ26">
        <f t="shared" si="70"/>
        <v>7.2983110966929532</v>
      </c>
      <c r="CR26">
        <f t="shared" si="70"/>
        <v>6.6678553563516898</v>
      </c>
      <c r="CS26">
        <f t="shared" si="70"/>
        <v>6.1029714290304238</v>
      </c>
      <c r="CT26">
        <f t="shared" si="70"/>
        <v>5.595741637205184</v>
      </c>
      <c r="CU26">
        <f t="shared" si="70"/>
        <v>5.1393227270845765</v>
      </c>
      <c r="CV26">
        <f t="shared" si="70"/>
        <v>4.7277872474670763</v>
      </c>
      <c r="CW26">
        <f t="shared" si="70"/>
        <v>4.3559894262457171</v>
      </c>
      <c r="CX26">
        <f t="shared" si="70"/>
        <v>4.019451832769394</v>
      </c>
      <c r="CY26">
        <f t="shared" si="70"/>
        <v>3.7142695800952938</v>
      </c>
      <c r="CZ26">
        <f t="shared" si="70"/>
        <v>3.4370292812426237</v>
      </c>
      <c r="DA26">
        <f t="shared" ref="DA26:DW26" si="71">IF((DA$8-$B26)&gt;0,_xlfn.LOGNORM.DIST((DA$8-$B26+1),$BD$2,$BD$3,TRUE)-_xlfn.LOGNORM.DIST((DA$8-$B26),$BD$2,$BD$3,TRUE),_xlfn.LOGNORM.DIST((DA$8-$B26+1),$BD$2,$BD$3,TRUE))*$AW26</f>
        <v>3.1847403964204593</v>
      </c>
      <c r="DB26">
        <f t="shared" si="71"/>
        <v>2.9547769816986129</v>
      </c>
      <c r="DC26">
        <f t="shared" si="71"/>
        <v>2.7448281717184293</v>
      </c>
      <c r="DD26">
        <f t="shared" si="71"/>
        <v>2.5528560027021663</v>
      </c>
      <c r="DE26">
        <f t="shared" si="71"/>
        <v>2.3770594122754383</v>
      </c>
      <c r="DF26">
        <f t="shared" si="71"/>
        <v>2.2158434451725681</v>
      </c>
      <c r="DG26">
        <f t="shared" si="71"/>
        <v>2.0677928542752904</v>
      </c>
      <c r="DH26">
        <f t="shared" si="71"/>
        <v>1.9316494197640079</v>
      </c>
      <c r="DI26">
        <f t="shared" si="71"/>
        <v>1.8062924198427741</v>
      </c>
      <c r="DJ26">
        <f t="shared" si="71"/>
        <v>1.6907217783926987</v>
      </c>
      <c r="DK26">
        <f t="shared" si="71"/>
        <v>1.584043491214308</v>
      </c>
      <c r="DL26">
        <f t="shared" si="71"/>
        <v>1.4854569959481596</v>
      </c>
      <c r="DM26">
        <f t="shared" si="71"/>
        <v>1.3942442035389893</v>
      </c>
      <c r="DN26">
        <f t="shared" si="71"/>
        <v>1.3097599531009956</v>
      </c>
      <c r="DO26">
        <f t="shared" si="71"/>
        <v>1.2314236887501298</v>
      </c>
      <c r="DP26">
        <f t="shared" si="71"/>
        <v>1.1587121876756743</v>
      </c>
      <c r="DQ26">
        <f t="shared" si="71"/>
        <v>1.0911531944449782</v>
      </c>
      <c r="DR26">
        <f t="shared" si="71"/>
        <v>1.0283198381205292</v>
      </c>
      <c r="DS26">
        <f t="shared" si="71"/>
        <v>0.96982572693007163</v>
      </c>
      <c r="DT26">
        <f t="shared" si="71"/>
        <v>0.91532063053311796</v>
      </c>
      <c r="DU26">
        <f t="shared" si="71"/>
        <v>0.86448667284479697</v>
      </c>
      <c r="DV26">
        <f t="shared" si="71"/>
        <v>0.81703496931719888</v>
      </c>
      <c r="DW26" s="4">
        <f t="shared" si="71"/>
        <v>0.77270265184407128</v>
      </c>
      <c r="DZ26" s="8">
        <f t="shared" si="30"/>
        <v>170.13887273516838</v>
      </c>
      <c r="EB26" s="3">
        <f t="shared" si="31"/>
        <v>7823.0760023858256</v>
      </c>
      <c r="EF26" s="3">
        <f t="shared" si="32"/>
        <v>38912.145144559363</v>
      </c>
      <c r="EG26">
        <f t="shared" si="33"/>
        <v>0.94452741625773418</v>
      </c>
      <c r="EH26">
        <f t="shared" si="34"/>
        <v>36753.58791443659</v>
      </c>
      <c r="EI26" s="4">
        <f>SUM($EH$10:EH26)</f>
        <v>563097.91457930685</v>
      </c>
      <c r="EJ26" s="4">
        <f t="shared" si="42"/>
        <v>563.0979145793068</v>
      </c>
      <c r="EN26" s="3">
        <f t="shared" si="35"/>
        <v>497.50469881031739</v>
      </c>
      <c r="EO26">
        <v>9.3951058739957265</v>
      </c>
      <c r="EP26">
        <f t="shared" si="36"/>
        <v>506.8998046843131</v>
      </c>
      <c r="EQ26">
        <f>SUM($EP$10:EP26)</f>
        <v>7656.2077100481602</v>
      </c>
      <c r="ER26">
        <f t="shared" si="37"/>
        <v>182983364.27015102</v>
      </c>
      <c r="ES26" s="4">
        <f t="shared" si="38"/>
        <v>108.86595257252637</v>
      </c>
    </row>
    <row r="27" spans="1:149" x14ac:dyDescent="0.25">
      <c r="A27" s="41"/>
      <c r="B27" s="39">
        <v>2007</v>
      </c>
      <c r="C27">
        <v>301731257</v>
      </c>
      <c r="D27" s="40">
        <f t="shared" si="6"/>
        <v>301.73125700000003</v>
      </c>
      <c r="E27" s="11">
        <v>1064.9498896134455</v>
      </c>
      <c r="F27" s="5">
        <f t="shared" si="8"/>
        <v>622.99568542386555</v>
      </c>
      <c r="G27" s="13">
        <f t="shared" si="9"/>
        <v>212.98997792268912</v>
      </c>
      <c r="H27">
        <v>664</v>
      </c>
      <c r="I27" s="13">
        <f t="shared" si="0"/>
        <v>95.8454900652101</v>
      </c>
      <c r="J27">
        <v>88200</v>
      </c>
      <c r="K27" s="15">
        <v>0.58499999999999996</v>
      </c>
      <c r="L27" s="14">
        <f t="shared" si="10"/>
        <v>-4862.6059238703556</v>
      </c>
      <c r="N27" s="7">
        <f t="shared" si="11"/>
        <v>965.17861685943637</v>
      </c>
      <c r="O27" s="5">
        <f t="shared" si="12"/>
        <v>851.95991169075637</v>
      </c>
      <c r="P27">
        <v>88200</v>
      </c>
      <c r="Q27" s="5">
        <v>0.58499999999999996</v>
      </c>
      <c r="R27" s="5">
        <f t="shared" si="13"/>
        <v>49800.32109409634</v>
      </c>
      <c r="S27" s="5">
        <f t="shared" si="14"/>
        <v>564.62949086277024</v>
      </c>
      <c r="T27" s="5">
        <f t="shared" si="15"/>
        <v>498.39654833909242</v>
      </c>
      <c r="U27" s="6">
        <f t="shared" si="16"/>
        <v>44565.941559288658</v>
      </c>
      <c r="W27" s="9">
        <f t="shared" si="17"/>
        <v>44565.941559288658</v>
      </c>
      <c r="AA27" s="18">
        <v>3.8377192982456142E-2</v>
      </c>
      <c r="AB27">
        <v>0.36</v>
      </c>
      <c r="AC27" s="6">
        <f t="shared" si="39"/>
        <v>524.63216875640421</v>
      </c>
      <c r="AD27" s="5"/>
      <c r="AE27" s="5"/>
      <c r="AF27" s="5"/>
      <c r="AG27" s="5"/>
      <c r="AH27" s="20">
        <v>4.6052631578947373E-3</v>
      </c>
      <c r="AJ27" s="3">
        <v>1.7999999999999999E-2</v>
      </c>
      <c r="AK27">
        <f t="shared" si="18"/>
        <v>8.9711378701036626</v>
      </c>
      <c r="AL27" s="6">
        <f t="shared" si="19"/>
        <v>896.40577969373408</v>
      </c>
      <c r="AO27" s="5">
        <f t="shared" si="1"/>
        <v>85.328398438473528</v>
      </c>
      <c r="AP27" s="5">
        <f t="shared" si="20"/>
        <v>6607.4381733032797</v>
      </c>
      <c r="AQ27" s="5">
        <f t="shared" si="21"/>
        <v>5812.2034562102681</v>
      </c>
      <c r="AR27" s="6">
        <f t="shared" si="22"/>
        <v>475769.44050066819</v>
      </c>
      <c r="AS27" s="5"/>
      <c r="AT27" s="5"/>
      <c r="AV27" s="3">
        <f t="shared" si="49"/>
        <v>38742.161871398763</v>
      </c>
      <c r="AW27" s="5">
        <f t="shared" si="2"/>
        <v>622.99568542386555</v>
      </c>
      <c r="AX27" s="5">
        <v>537.66728698539202</v>
      </c>
      <c r="AZ27">
        <f t="shared" si="24"/>
        <v>0</v>
      </c>
      <c r="BA27" s="5">
        <f t="shared" si="25"/>
        <v>11.576231679627346</v>
      </c>
      <c r="BB27" s="5">
        <f t="shared" si="26"/>
        <v>11.576231679627346</v>
      </c>
      <c r="BV27">
        <f t="shared" ref="BV27:DA27" si="72">IF((BV$8-$B27)&gt;0,_xlfn.LOGNORM.DIST((BV$8-$B27+1),$BD$2,$BD$3,TRUE)-_xlfn.LOGNORM.DIST((BV$8-$B27),$BD$2,$BD$3,TRUE),_xlfn.LOGNORM.DIST((BV$8-$B27+1),$BD$2,$BD$3,TRUE))*$AW27</f>
        <v>7.5773565518265675</v>
      </c>
      <c r="BW27">
        <f t="shared" si="72"/>
        <v>31.944994552290417</v>
      </c>
      <c r="BX27">
        <f t="shared" si="72"/>
        <v>44.700891778570309</v>
      </c>
      <c r="BY27">
        <f t="shared" si="72"/>
        <v>47.561880830728107</v>
      </c>
      <c r="BZ27">
        <f t="shared" si="72"/>
        <v>45.869469211673568</v>
      </c>
      <c r="CA27">
        <f t="shared" si="72"/>
        <v>42.371493897839059</v>
      </c>
      <c r="CB27">
        <f t="shared" si="72"/>
        <v>38.338635839502196</v>
      </c>
      <c r="CC27">
        <f t="shared" si="72"/>
        <v>34.33964438596778</v>
      </c>
      <c r="CD27">
        <f t="shared" si="72"/>
        <v>30.614292557066868</v>
      </c>
      <c r="CE27">
        <f t="shared" si="72"/>
        <v>27.247620979657668</v>
      </c>
      <c r="CF27">
        <f t="shared" si="72"/>
        <v>24.252524415127869</v>
      </c>
      <c r="CG27">
        <f t="shared" si="72"/>
        <v>21.609592020765636</v>
      </c>
      <c r="CH27">
        <f t="shared" si="72"/>
        <v>19.286512043029582</v>
      </c>
      <c r="CI27">
        <f t="shared" si="72"/>
        <v>17.247473888960098</v>
      </c>
      <c r="CJ27">
        <f t="shared" si="72"/>
        <v>15.457588095864734</v>
      </c>
      <c r="CK27">
        <f t="shared" si="72"/>
        <v>13.884803779801818</v>
      </c>
      <c r="CL27">
        <f t="shared" si="72"/>
        <v>12.500574154537626</v>
      </c>
      <c r="CM27">
        <f t="shared" si="72"/>
        <v>11.279910173092835</v>
      </c>
      <c r="CN27">
        <f t="shared" si="72"/>
        <v>10.201152138446233</v>
      </c>
      <c r="CO27">
        <f t="shared" si="72"/>
        <v>9.2456287132675694</v>
      </c>
      <c r="CP27">
        <f t="shared" si="72"/>
        <v>8.3972887854972154</v>
      </c>
      <c r="CQ27">
        <f t="shared" si="72"/>
        <v>7.6423474371560323</v>
      </c>
      <c r="CR27">
        <f t="shared" si="72"/>
        <v>6.9689640484587621</v>
      </c>
      <c r="CS27">
        <f t="shared" si="72"/>
        <v>6.366958552889578</v>
      </c>
      <c r="CT27">
        <f t="shared" si="72"/>
        <v>5.8275658456044788</v>
      </c>
      <c r="CU27">
        <f t="shared" si="72"/>
        <v>5.3432255459508982</v>
      </c>
      <c r="CV27">
        <f t="shared" si="72"/>
        <v>4.907403212053878</v>
      </c>
      <c r="CW27">
        <f t="shared" si="72"/>
        <v>4.5144388776862812</v>
      </c>
      <c r="CX27">
        <f t="shared" si="72"/>
        <v>4.159418981293947</v>
      </c>
      <c r="CY27">
        <f t="shared" si="72"/>
        <v>3.8380681428850378</v>
      </c>
      <c r="CZ27">
        <f t="shared" si="72"/>
        <v>3.5466576892970605</v>
      </c>
      <c r="DA27">
        <f t="shared" si="72"/>
        <v>3.2819282676691315</v>
      </c>
      <c r="DB27">
        <f t="shared" ref="DB27:DW27" si="73">IF((DB$8-$B27)&gt;0,_xlfn.LOGNORM.DIST((DB$8-$B27+1),$BD$2,$BD$3,TRUE)-_xlfn.LOGNORM.DIST((DB$8-$B27),$BD$2,$BD$3,TRUE),_xlfn.LOGNORM.DIST((DB$8-$B27+1),$BD$2,$BD$3,TRUE))*$AW27</f>
        <v>3.0410242907273841</v>
      </c>
      <c r="DC27">
        <f t="shared" si="73"/>
        <v>2.8214383141329447</v>
      </c>
      <c r="DD27">
        <f t="shared" si="73"/>
        <v>2.6209637537334052</v>
      </c>
      <c r="DE27">
        <f t="shared" si="73"/>
        <v>2.4376546118710918</v>
      </c>
      <c r="DF27">
        <f t="shared" si="73"/>
        <v>2.2697911017665922</v>
      </c>
      <c r="DG27">
        <f t="shared" si="73"/>
        <v>2.1158502428620571</v>
      </c>
      <c r="DH27">
        <f t="shared" si="73"/>
        <v>1.9744806531519499</v>
      </c>
      <c r="DI27">
        <f t="shared" si="73"/>
        <v>1.8444808918410431</v>
      </c>
      <c r="DJ27">
        <f t="shared" si="73"/>
        <v>1.7247808113567267</v>
      </c>
      <c r="DK27">
        <f t="shared" si="73"/>
        <v>1.6144254654894008</v>
      </c>
      <c r="DL27">
        <f t="shared" si="73"/>
        <v>1.512561193297135</v>
      </c>
      <c r="DM27">
        <f t="shared" si="73"/>
        <v>1.4184235589772367</v>
      </c>
      <c r="DN27">
        <f t="shared" si="73"/>
        <v>1.331326878301748</v>
      </c>
      <c r="DO27">
        <f t="shared" si="73"/>
        <v>1.250655104221009</v>
      </c>
      <c r="DP27">
        <f t="shared" si="73"/>
        <v>1.1758538792911597</v>
      </c>
      <c r="DQ27">
        <f t="shared" si="73"/>
        <v>1.1064235919022103</v>
      </c>
      <c r="DR27">
        <f t="shared" si="73"/>
        <v>1.0419132978441603</v>
      </c>
      <c r="DS27">
        <f t="shared" si="73"/>
        <v>0.98191538935989486</v>
      </c>
      <c r="DT27">
        <f t="shared" si="73"/>
        <v>0.92606091117554312</v>
      </c>
      <c r="DU27">
        <f t="shared" si="73"/>
        <v>0.87401543761108158</v>
      </c>
      <c r="DV27">
        <f t="shared" si="73"/>
        <v>0.82547543720861771</v>
      </c>
      <c r="DW27" s="4">
        <f t="shared" si="73"/>
        <v>0.78016506176137224</v>
      </c>
      <c r="DZ27" s="8">
        <f t="shared" si="30"/>
        <v>178.41785072354696</v>
      </c>
      <c r="EB27" s="3">
        <f t="shared" si="31"/>
        <v>7470.0481641144506</v>
      </c>
      <c r="EF27" s="3">
        <f t="shared" si="32"/>
        <v>39638.567651092497</v>
      </c>
      <c r="EG27">
        <f t="shared" si="33"/>
        <v>0.9570175438596491</v>
      </c>
      <c r="EH27">
        <f t="shared" si="34"/>
        <v>37934.804655563079</v>
      </c>
      <c r="EI27" s="4">
        <f>SUM($EH$10:EH27)</f>
        <v>601032.71923486993</v>
      </c>
      <c r="EJ27" s="4">
        <f t="shared" si="42"/>
        <v>601.03271923486989</v>
      </c>
      <c r="EN27" s="3">
        <f t="shared" si="35"/>
        <v>514.55702640444099</v>
      </c>
      <c r="EO27">
        <v>8.9711378701036626</v>
      </c>
      <c r="EP27">
        <f t="shared" si="36"/>
        <v>523.52816427454468</v>
      </c>
      <c r="EQ27">
        <f>SUM($EP$10:EP27)</f>
        <v>8179.7358743227051</v>
      </c>
      <c r="ER27">
        <f t="shared" si="37"/>
        <v>195495687.39631262</v>
      </c>
      <c r="ES27" s="4">
        <f t="shared" si="38"/>
        <v>116.31015921643619</v>
      </c>
    </row>
    <row r="28" spans="1:149" x14ac:dyDescent="0.25">
      <c r="A28" s="41"/>
      <c r="B28" s="39">
        <v>2008</v>
      </c>
      <c r="C28">
        <v>304536282</v>
      </c>
      <c r="D28" s="40">
        <f t="shared" si="6"/>
        <v>304.53628200000003</v>
      </c>
      <c r="E28" s="11">
        <v>1044.0118669734456</v>
      </c>
      <c r="F28" s="5">
        <f t="shared" si="8"/>
        <v>585.69065737210292</v>
      </c>
      <c r="G28" s="15">
        <v>156.40226784000004</v>
      </c>
      <c r="H28">
        <v>664</v>
      </c>
      <c r="I28" s="15">
        <v>93.669490080000031</v>
      </c>
      <c r="J28">
        <v>88200</v>
      </c>
      <c r="K28" s="15">
        <v>0.56099999999999994</v>
      </c>
      <c r="L28" s="14">
        <f t="shared" si="10"/>
        <v>-4576.5246326769447</v>
      </c>
      <c r="N28" s="7">
        <f t="shared" si="11"/>
        <v>999.26587496277568</v>
      </c>
      <c r="O28" s="5">
        <f t="shared" si="12"/>
        <v>887.60959913344561</v>
      </c>
      <c r="P28">
        <v>88200</v>
      </c>
      <c r="Q28" s="5">
        <v>0.56099999999999994</v>
      </c>
      <c r="R28" s="5">
        <f t="shared" si="13"/>
        <v>49443.875346333123</v>
      </c>
      <c r="S28" s="5">
        <f t="shared" si="14"/>
        <v>560.58815585411708</v>
      </c>
      <c r="T28" s="5">
        <f t="shared" si="15"/>
        <v>497.94898511386293</v>
      </c>
      <c r="U28" s="6">
        <f t="shared" si="16"/>
        <v>44792.155903875537</v>
      </c>
      <c r="W28" s="9">
        <f t="shared" si="17"/>
        <v>44792.155903875537</v>
      </c>
      <c r="AA28" s="18">
        <v>5.842005676442763E-2</v>
      </c>
      <c r="AB28">
        <v>0.36</v>
      </c>
      <c r="AC28" s="6">
        <f t="shared" si="39"/>
        <v>814.79494645335342</v>
      </c>
      <c r="AD28" s="5"/>
      <c r="AE28" s="5"/>
      <c r="AF28" s="5"/>
      <c r="AG28" s="5"/>
      <c r="AH28" s="20">
        <v>1.0170293282876065E-2</v>
      </c>
      <c r="AJ28" s="3">
        <v>1.7999999999999999E-2</v>
      </c>
      <c r="AK28">
        <f t="shared" si="18"/>
        <v>8.9630817320495328</v>
      </c>
      <c r="AL28" s="6">
        <f t="shared" si="19"/>
        <v>889.98975623399622</v>
      </c>
      <c r="AO28" s="5">
        <f t="shared" si="1"/>
        <v>40.411194844059878</v>
      </c>
      <c r="AP28" s="5">
        <f t="shared" si="20"/>
        <v>6647.8493681473392</v>
      </c>
      <c r="AQ28" s="5">
        <f t="shared" si="21"/>
        <v>5517.5906273616938</v>
      </c>
      <c r="AR28" s="6">
        <f t="shared" si="22"/>
        <v>481287.03112802986</v>
      </c>
      <c r="AS28" s="5"/>
      <c r="AT28" s="5"/>
      <c r="AV28" s="3">
        <f t="shared" si="49"/>
        <v>39262.918244420849</v>
      </c>
      <c r="AW28" s="5">
        <f t="shared" si="2"/>
        <v>585.69065737210292</v>
      </c>
      <c r="AX28" s="5">
        <v>545.27946252804304</v>
      </c>
      <c r="AZ28">
        <f t="shared" si="24"/>
        <v>0</v>
      </c>
      <c r="BA28" s="5">
        <f t="shared" si="25"/>
        <v>11.64703209299414</v>
      </c>
      <c r="BB28" s="5">
        <f t="shared" si="26"/>
        <v>11.64703209299414</v>
      </c>
      <c r="BW28">
        <f t="shared" ref="BW28:DB28" si="74">IF((BW$8-$B28)&gt;0,_xlfn.LOGNORM.DIST((BW$8-$B28+1),$BD$2,$BD$3,TRUE)-_xlfn.LOGNORM.DIST((BW$8-$B28),$BD$2,$BD$3,TRUE),_xlfn.LOGNORM.DIST((BW$8-$B28+1),$BD$2,$BD$3,TRUE))*$AW28</f>
        <v>7.1236238770460423</v>
      </c>
      <c r="BX28">
        <f t="shared" si="74"/>
        <v>30.032125898832891</v>
      </c>
      <c r="BY28">
        <f t="shared" si="74"/>
        <v>42.024199048982922</v>
      </c>
      <c r="BZ28">
        <f t="shared" si="74"/>
        <v>44.713871863574937</v>
      </c>
      <c r="CA28">
        <f t="shared" si="74"/>
        <v>43.122801978341563</v>
      </c>
      <c r="CB28">
        <f t="shared" si="74"/>
        <v>39.834285686872818</v>
      </c>
      <c r="CC28">
        <f t="shared" si="74"/>
        <v>36.042915469487333</v>
      </c>
      <c r="CD28">
        <f t="shared" si="74"/>
        <v>32.28338392208591</v>
      </c>
      <c r="CE28">
        <f t="shared" si="74"/>
        <v>28.781106438210809</v>
      </c>
      <c r="CF28">
        <f t="shared" si="74"/>
        <v>25.616031405649061</v>
      </c>
      <c r="CG28">
        <f t="shared" si="74"/>
        <v>22.8002814465159</v>
      </c>
      <c r="CH28">
        <f t="shared" si="74"/>
        <v>20.315608040807039</v>
      </c>
      <c r="CI28">
        <f t="shared" si="74"/>
        <v>18.131634265190137</v>
      </c>
      <c r="CJ28">
        <f t="shared" si="74"/>
        <v>16.214693867679632</v>
      </c>
      <c r="CK28">
        <f t="shared" si="74"/>
        <v>14.531986569208099</v>
      </c>
      <c r="CL28">
        <f t="shared" si="74"/>
        <v>13.053380695151859</v>
      </c>
      <c r="CM28">
        <f t="shared" si="74"/>
        <v>11.752038842963378</v>
      </c>
      <c r="CN28">
        <f t="shared" si="74"/>
        <v>10.604468311657962</v>
      </c>
      <c r="CO28">
        <f t="shared" si="74"/>
        <v>9.5903063884855122</v>
      </c>
      <c r="CP28">
        <f t="shared" si="74"/>
        <v>8.6919997771859894</v>
      </c>
      <c r="CQ28">
        <f t="shared" si="74"/>
        <v>7.8944585074855906</v>
      </c>
      <c r="CR28">
        <f t="shared" si="74"/>
        <v>7.1847231033206365</v>
      </c>
      <c r="CS28">
        <f t="shared" si="74"/>
        <v>6.5516619621006527</v>
      </c>
      <c r="CT28">
        <f t="shared" si="74"/>
        <v>5.9857046004511192</v>
      </c>
      <c r="CU28">
        <f t="shared" si="74"/>
        <v>5.4786107686590277</v>
      </c>
      <c r="CV28">
        <f t="shared" si="74"/>
        <v>5.0232728022284823</v>
      </c>
      <c r="CW28">
        <f t="shared" si="74"/>
        <v>4.613547542150763</v>
      </c>
      <c r="CX28">
        <f t="shared" si="74"/>
        <v>4.2441139413980409</v>
      </c>
      <c r="CY28">
        <f t="shared" si="74"/>
        <v>3.9103526628480427</v>
      </c>
      <c r="CZ28">
        <f t="shared" si="74"/>
        <v>3.6082443365813259</v>
      </c>
      <c r="DA28">
        <f t="shared" si="74"/>
        <v>3.334283562662125</v>
      </c>
      <c r="DB28">
        <f t="shared" si="74"/>
        <v>3.085406158521665</v>
      </c>
      <c r="DC28">
        <f t="shared" ref="DC28:DW28" si="75">IF((DC$8-$B28)&gt;0,_xlfn.LOGNORM.DIST((DC$8-$B28+1),$BD$2,$BD$3,TRUE)-_xlfn.LOGNORM.DIST((DC$8-$B28),$BD$2,$BD$3,TRUE),_xlfn.LOGNORM.DIST((DC$8-$B28+1),$BD$2,$BD$3,TRUE))*$AW28</f>
        <v>2.8589275296647578</v>
      </c>
      <c r="DD28">
        <f t="shared" si="75"/>
        <v>2.6524903777063287</v>
      </c>
      <c r="DE28">
        <f t="shared" si="75"/>
        <v>2.464020248917389</v>
      </c>
      <c r="DF28">
        <f t="shared" si="75"/>
        <v>2.291687672124969</v>
      </c>
      <c r="DG28">
        <f t="shared" si="75"/>
        <v>2.13387584151012</v>
      </c>
      <c r="DH28">
        <f t="shared" si="75"/>
        <v>1.9891529727042467</v>
      </c>
      <c r="DI28">
        <f t="shared" si="75"/>
        <v>1.8562486045569719</v>
      </c>
      <c r="DJ28">
        <f t="shared" si="75"/>
        <v>1.7340332386373851</v>
      </c>
      <c r="DK28">
        <f t="shared" si="75"/>
        <v>1.6215008078892423</v>
      </c>
      <c r="DL28">
        <f t="shared" si="75"/>
        <v>1.5177535483531108</v>
      </c>
      <c r="DM28">
        <f t="shared" si="75"/>
        <v>1.4219889163678547</v>
      </c>
      <c r="DN28">
        <f t="shared" si="75"/>
        <v>1.333488250603591</v>
      </c>
      <c r="DO28">
        <f t="shared" si="75"/>
        <v>1.2516069256550106</v>
      </c>
      <c r="DP28">
        <f t="shared" si="75"/>
        <v>1.1757657834156781</v>
      </c>
      <c r="DQ28">
        <f t="shared" si="75"/>
        <v>1.1054436614067675</v>
      </c>
      <c r="DR28">
        <f t="shared" si="75"/>
        <v>1.0401708647987125</v>
      </c>
      <c r="DS28">
        <f t="shared" si="75"/>
        <v>0.97952345195439938</v>
      </c>
      <c r="DT28">
        <f t="shared" si="75"/>
        <v>0.92311822269957322</v>
      </c>
      <c r="DU28">
        <f t="shared" si="75"/>
        <v>0.87060831482964696</v>
      </c>
      <c r="DV28">
        <f t="shared" si="75"/>
        <v>0.82167932809922917</v>
      </c>
      <c r="DW28" s="4">
        <f t="shared" si="75"/>
        <v>0.77604590653673666</v>
      </c>
      <c r="DZ28" s="8">
        <f t="shared" si="30"/>
        <v>399.31539368734548</v>
      </c>
      <c r="EB28" s="3">
        <f t="shared" si="31"/>
        <v>7416.5813019499683</v>
      </c>
      <c r="EF28" s="3">
        <f t="shared" si="32"/>
        <v>40152.908000654847</v>
      </c>
      <c r="EG28">
        <f t="shared" si="33"/>
        <v>0.93140964995269626</v>
      </c>
      <c r="EH28">
        <f t="shared" si="34"/>
        <v>37398.805985472747</v>
      </c>
      <c r="EI28" s="4">
        <f>SUM($EH$10:EH28)</f>
        <v>638431.52522034268</v>
      </c>
      <c r="EJ28" s="4">
        <f t="shared" si="42"/>
        <v>638.43152522034268</v>
      </c>
      <c r="EN28" s="3">
        <f t="shared" si="35"/>
        <v>507.87855331963891</v>
      </c>
      <c r="EO28">
        <v>9.2856828700717724</v>
      </c>
      <c r="EP28">
        <f t="shared" si="36"/>
        <v>517.16423618971066</v>
      </c>
      <c r="EQ28">
        <f>SUM($EP$10:EP28)</f>
        <v>8696.9001105124153</v>
      </c>
      <c r="ER28">
        <f t="shared" si="37"/>
        <v>207855912.64124671</v>
      </c>
      <c r="ES28" s="4">
        <f t="shared" si="38"/>
        <v>123.66387522590973</v>
      </c>
    </row>
    <row r="29" spans="1:149" x14ac:dyDescent="0.25">
      <c r="A29" s="41"/>
      <c r="B29" s="39">
        <v>2009</v>
      </c>
      <c r="C29">
        <v>306817502</v>
      </c>
      <c r="D29" s="40">
        <f t="shared" si="6"/>
        <v>306.81750199999999</v>
      </c>
      <c r="E29" s="11">
        <v>888.97865033949597</v>
      </c>
      <c r="F29" s="5">
        <f t="shared" si="8"/>
        <v>486.27132173570425</v>
      </c>
      <c r="G29" s="15">
        <v>141.7932648</v>
      </c>
      <c r="H29">
        <v>664</v>
      </c>
      <c r="I29" s="15">
        <v>67.888896480000014</v>
      </c>
      <c r="J29">
        <v>88200</v>
      </c>
      <c r="K29" s="15">
        <v>0.54699999999999993</v>
      </c>
      <c r="L29" s="14">
        <f t="shared" si="10"/>
        <v>-3223.826518114714</v>
      </c>
      <c r="N29" s="7">
        <f t="shared" si="11"/>
        <v>830.01454380804068</v>
      </c>
      <c r="O29" s="5">
        <f t="shared" si="12"/>
        <v>747.185385539496</v>
      </c>
      <c r="P29">
        <v>88200</v>
      </c>
      <c r="Q29" s="5">
        <v>0.54699999999999993</v>
      </c>
      <c r="R29" s="5">
        <f t="shared" si="13"/>
        <v>40044.383671836433</v>
      </c>
      <c r="S29" s="5">
        <f t="shared" si="14"/>
        <v>454.0179554629982</v>
      </c>
      <c r="T29" s="5">
        <f t="shared" si="15"/>
        <v>408.71040589010425</v>
      </c>
      <c r="U29" s="6">
        <f t="shared" si="16"/>
        <v>37081.384047505329</v>
      </c>
      <c r="W29" s="9">
        <f t="shared" si="17"/>
        <v>37081.384047505329</v>
      </c>
      <c r="AA29" s="18">
        <v>6.9448183041722747E-2</v>
      </c>
      <c r="AB29">
        <v>0.36</v>
      </c>
      <c r="AC29" s="6">
        <f t="shared" si="39"/>
        <v>981.62579987666447</v>
      </c>
      <c r="AD29" s="5"/>
      <c r="AE29" s="5"/>
      <c r="AF29" s="5"/>
      <c r="AG29" s="5"/>
      <c r="AH29" s="20">
        <v>1.5881561238223402E-2</v>
      </c>
      <c r="AJ29" s="3">
        <v>1.7999999999999999E-2</v>
      </c>
      <c r="AK29">
        <f t="shared" si="18"/>
        <v>7.356787306021876</v>
      </c>
      <c r="AL29" s="6">
        <f t="shared" si="19"/>
        <v>720.79890609305573</v>
      </c>
      <c r="AO29" s="5">
        <f t="shared" si="1"/>
        <v>-62.095081556715343</v>
      </c>
      <c r="AP29" s="5">
        <f t="shared" si="20"/>
        <v>6585.7542865906235</v>
      </c>
      <c r="AQ29" s="5">
        <f t="shared" si="21"/>
        <v>-2630.4577952754134</v>
      </c>
      <c r="AR29" s="6">
        <f t="shared" si="22"/>
        <v>478656.57333275443</v>
      </c>
      <c r="AS29" s="5"/>
      <c r="AT29" s="5"/>
      <c r="AV29" s="3">
        <f t="shared" si="49"/>
        <v>39700.303601270636</v>
      </c>
      <c r="AW29" s="5">
        <f t="shared" si="2"/>
        <v>486.27132173570425</v>
      </c>
      <c r="AX29" s="5">
        <v>548.36640329241959</v>
      </c>
      <c r="AZ29">
        <f t="shared" si="24"/>
        <v>0</v>
      </c>
      <c r="BA29" s="5">
        <f t="shared" si="25"/>
        <v>11.538241510106772</v>
      </c>
      <c r="BB29" s="5">
        <f t="shared" si="26"/>
        <v>11.538241510106772</v>
      </c>
      <c r="BX29">
        <f t="shared" ref="BX29:DC29" si="76">IF((BX$8-$B29)&gt;0,_xlfn.LOGNORM.DIST((BX$8-$B29+1),$BD$2,$BD$3,TRUE)-_xlfn.LOGNORM.DIST((BX$8-$B29),$BD$2,$BD$3,TRUE),_xlfn.LOGNORM.DIST((BX$8-$B29+1),$BD$2,$BD$3,TRUE))*$AW29</f>
        <v>5.9144088344889409</v>
      </c>
      <c r="BY29">
        <f t="shared" si="76"/>
        <v>24.934257310647922</v>
      </c>
      <c r="BZ29">
        <f t="shared" si="76"/>
        <v>34.890709898160992</v>
      </c>
      <c r="CA29">
        <f t="shared" si="76"/>
        <v>37.123818345641837</v>
      </c>
      <c r="CB29">
        <f t="shared" si="76"/>
        <v>35.802828081706714</v>
      </c>
      <c r="CC29">
        <f t="shared" si="76"/>
        <v>33.07252814696497</v>
      </c>
      <c r="CD29">
        <f t="shared" si="76"/>
        <v>29.924732320633186</v>
      </c>
      <c r="CE29">
        <f t="shared" si="76"/>
        <v>26.803370639938834</v>
      </c>
      <c r="CF29">
        <f t="shared" si="76"/>
        <v>23.895594871736424</v>
      </c>
      <c r="CG29">
        <f t="shared" si="76"/>
        <v>21.267782390686957</v>
      </c>
      <c r="CH29">
        <f t="shared" si="76"/>
        <v>18.929998038024763</v>
      </c>
      <c r="CI29">
        <f t="shared" si="76"/>
        <v>16.867090928499216</v>
      </c>
      <c r="CJ29">
        <f t="shared" si="76"/>
        <v>15.053840535757111</v>
      </c>
      <c r="CK29">
        <f t="shared" si="76"/>
        <v>13.462295359044857</v>
      </c>
      <c r="CL29">
        <f t="shared" si="76"/>
        <v>12.065222874068862</v>
      </c>
      <c r="CM29">
        <f t="shared" si="76"/>
        <v>10.837606172908636</v>
      </c>
      <c r="CN29">
        <f t="shared" si="76"/>
        <v>9.7571634263349178</v>
      </c>
      <c r="CO29">
        <f t="shared" si="76"/>
        <v>8.8043897530333499</v>
      </c>
      <c r="CP29">
        <f t="shared" si="76"/>
        <v>7.962378953257562</v>
      </c>
      <c r="CQ29">
        <f t="shared" si="76"/>
        <v>7.2165573532332719</v>
      </c>
      <c r="CR29">
        <f t="shared" si="76"/>
        <v>6.554396462540435</v>
      </c>
      <c r="CS29">
        <f t="shared" si="76"/>
        <v>5.965136639591524</v>
      </c>
      <c r="CT29">
        <f t="shared" si="76"/>
        <v>5.4395358399103761</v>
      </c>
      <c r="CU29">
        <f t="shared" si="76"/>
        <v>4.9696481426570385</v>
      </c>
      <c r="CV29">
        <f t="shared" si="76"/>
        <v>4.548632057244391</v>
      </c>
      <c r="CW29">
        <f t="shared" si="76"/>
        <v>4.1705864251591969</v>
      </c>
      <c r="CX29">
        <f t="shared" si="76"/>
        <v>3.8304108712918299</v>
      </c>
      <c r="CY29">
        <f t="shared" si="76"/>
        <v>3.5236875813256834</v>
      </c>
      <c r="CZ29">
        <f t="shared" si="76"/>
        <v>3.2465813375742241</v>
      </c>
      <c r="DA29">
        <f t="shared" si="76"/>
        <v>2.9957550468148262</v>
      </c>
      <c r="DB29">
        <f t="shared" si="76"/>
        <v>2.7682983408547908</v>
      </c>
      <c r="DC29">
        <f t="shared" si="76"/>
        <v>2.5616671734659548</v>
      </c>
      <c r="DD29">
        <f t="shared" ref="DD29:DW29" si="77">IF((DD$8-$B29)&gt;0,_xlfn.LOGNORM.DIST((DD$8-$B29+1),$BD$2,$BD$3,TRUE)-_xlfn.LOGNORM.DIST((DD$8-$B29),$BD$2,$BD$3,TRUE),_xlfn.LOGNORM.DIST((DD$8-$B29+1),$BD$2,$BD$3,TRUE))*$AW29</f>
        <v>2.3736326524898588</v>
      </c>
      <c r="DE29">
        <f t="shared" si="77"/>
        <v>2.2022376242874482</v>
      </c>
      <c r="DF29">
        <f t="shared" si="77"/>
        <v>2.045759767793879</v>
      </c>
      <c r="DG29">
        <f t="shared" si="77"/>
        <v>1.9026801594030467</v>
      </c>
      <c r="DH29">
        <f t="shared" si="77"/>
        <v>1.7716564415193934</v>
      </c>
      <c r="DI29">
        <f t="shared" si="77"/>
        <v>1.6514998711288498</v>
      </c>
      <c r="DJ29">
        <f t="shared" si="77"/>
        <v>1.5411556442746992</v>
      </c>
      <c r="DK29">
        <f t="shared" si="77"/>
        <v>1.4396859916960121</v>
      </c>
      <c r="DL29">
        <f t="shared" si="77"/>
        <v>1.3462556233791321</v>
      </c>
      <c r="DM29">
        <f t="shared" si="77"/>
        <v>1.2601191682622801</v>
      </c>
      <c r="DN29">
        <f t="shared" si="77"/>
        <v>1.180610312205151</v>
      </c>
      <c r="DO29">
        <f t="shared" si="77"/>
        <v>1.1071323846097703</v>
      </c>
      <c r="DP29">
        <f t="shared" si="77"/>
        <v>1.0391501834135499</v>
      </c>
      <c r="DQ29">
        <f t="shared" si="77"/>
        <v>0.97618286096361118</v>
      </c>
      <c r="DR29">
        <f t="shared" si="77"/>
        <v>0.9177977206406247</v>
      </c>
      <c r="DS29">
        <f t="shared" si="77"/>
        <v>0.86360479698635617</v>
      </c>
      <c r="DT29">
        <f t="shared" si="77"/>
        <v>0.81325211125977026</v>
      </c>
      <c r="DU29">
        <f t="shared" si="77"/>
        <v>0.76642151043438622</v>
      </c>
      <c r="DV29">
        <f t="shared" si="77"/>
        <v>0.72282501118562537</v>
      </c>
      <c r="DW29" s="4">
        <f t="shared" si="77"/>
        <v>0.68220158182217405</v>
      </c>
      <c r="DZ29" s="8">
        <f t="shared" si="30"/>
        <v>630.50280281964069</v>
      </c>
      <c r="EB29" s="3">
        <f t="shared" si="31"/>
        <v>6006.6575507754651</v>
      </c>
      <c r="EF29" s="3">
        <f t="shared" si="32"/>
        <v>40421.102507363692</v>
      </c>
      <c r="EG29">
        <f t="shared" si="33"/>
        <v>0.91467025572005389</v>
      </c>
      <c r="EH29">
        <f t="shared" si="34"/>
        <v>36971.980166896858</v>
      </c>
      <c r="EI29" s="4">
        <f>SUM($EH$10:EH29)</f>
        <v>675403.50538723951</v>
      </c>
      <c r="EJ29" s="4">
        <f t="shared" si="42"/>
        <v>675.40350538723953</v>
      </c>
      <c r="EN29" s="3">
        <f t="shared" si="35"/>
        <v>501.57443832776363</v>
      </c>
      <c r="EO29">
        <v>7.6071928181130746</v>
      </c>
      <c r="EP29">
        <f t="shared" si="36"/>
        <v>509.18163114587668</v>
      </c>
      <c r="EQ29">
        <f>SUM($EP$10:EP29)</f>
        <v>9206.0817416582922</v>
      </c>
      <c r="ER29">
        <f t="shared" si="37"/>
        <v>220025353.62563318</v>
      </c>
      <c r="ES29" s="4">
        <f t="shared" si="38"/>
        <v>130.90408413957047</v>
      </c>
    </row>
    <row r="30" spans="1:149" x14ac:dyDescent="0.25">
      <c r="A30" s="41"/>
      <c r="B30" s="39">
        <v>2010</v>
      </c>
      <c r="C30">
        <v>309320851</v>
      </c>
      <c r="D30" s="40">
        <f t="shared" si="6"/>
        <v>309.320851</v>
      </c>
      <c r="E30" s="11">
        <v>852.79594146352952</v>
      </c>
      <c r="F30" s="5">
        <f t="shared" si="8"/>
        <v>463.92099215616008</v>
      </c>
      <c r="G30" s="15">
        <v>168.43321152000001</v>
      </c>
      <c r="H30">
        <v>664</v>
      </c>
      <c r="I30" s="15">
        <v>81.63854640000001</v>
      </c>
      <c r="J30">
        <v>88200</v>
      </c>
      <c r="K30" s="15">
        <v>0.54400000000000004</v>
      </c>
      <c r="L30" s="14">
        <f t="shared" si="10"/>
        <v>-3856.2419961767123</v>
      </c>
      <c r="N30" s="7">
        <f>(E30-G30+I30)/$Q$1</f>
        <v>780.04203293638443</v>
      </c>
      <c r="O30" s="5">
        <f t="shared" si="12"/>
        <v>684.36272994352953</v>
      </c>
      <c r="P30">
        <v>88200</v>
      </c>
      <c r="Q30" s="5">
        <v>0.54400000000000004</v>
      </c>
      <c r="R30" s="5">
        <f t="shared" si="13"/>
        <v>37427.040773914079</v>
      </c>
      <c r="S30" s="5">
        <f t="shared" si="14"/>
        <v>424.34286591739317</v>
      </c>
      <c r="T30" s="5">
        <f t="shared" si="15"/>
        <v>372.29332508928007</v>
      </c>
      <c r="U30" s="6">
        <f t="shared" si="16"/>
        <v>34053.870371092082</v>
      </c>
      <c r="W30" s="9">
        <f t="shared" si="17"/>
        <v>34053.870371092082</v>
      </c>
      <c r="AA30" s="18">
        <v>8.0936851467536319E-2</v>
      </c>
      <c r="AB30">
        <v>0.36</v>
      </c>
      <c r="AC30" s="6">
        <f t="shared" si="39"/>
        <v>1156.7583272851698</v>
      </c>
      <c r="AD30" s="5"/>
      <c r="AE30" s="5"/>
      <c r="AF30" s="5"/>
      <c r="AG30" s="5"/>
      <c r="AH30" s="20">
        <v>1.8974206937444411E-2</v>
      </c>
      <c r="AJ30" s="3">
        <v>1.7999999999999999E-2</v>
      </c>
      <c r="AK30">
        <f t="shared" si="18"/>
        <v>6.7012798516070404</v>
      </c>
      <c r="AL30" s="6">
        <f t="shared" si="19"/>
        <v>673.68673393045344</v>
      </c>
      <c r="AO30" s="5">
        <f t="shared" si="1"/>
        <v>-81.50872195795796</v>
      </c>
      <c r="AP30" s="5">
        <f t="shared" si="20"/>
        <v>6504.2455646326653</v>
      </c>
      <c r="AQ30" s="5">
        <f t="shared" si="21"/>
        <v>-5599.6839741744634</v>
      </c>
      <c r="AR30" s="6">
        <f t="shared" si="22"/>
        <v>473056.88935857994</v>
      </c>
      <c r="AS30" s="5"/>
      <c r="AT30" s="5"/>
      <c r="AV30" s="3">
        <f t="shared" si="49"/>
        <v>39642.158907037308</v>
      </c>
      <c r="AW30" s="5">
        <f t="shared" si="2"/>
        <v>463.92099215616008</v>
      </c>
      <c r="AX30" s="5">
        <v>545.42971411411804</v>
      </c>
      <c r="AZ30">
        <f t="shared" si="24"/>
        <v>0</v>
      </c>
      <c r="BA30" s="5">
        <f t="shared" si="25"/>
        <v>11.395438229236429</v>
      </c>
      <c r="BB30" s="5">
        <f t="shared" si="26"/>
        <v>11.395438229236429</v>
      </c>
      <c r="BY30">
        <f t="shared" ref="BY30:DD30" si="78">IF((BY$8-$B30)&gt;0,_xlfn.LOGNORM.DIST((BY$8-$B30+1),$BD$2,$BD$3,TRUE)-_xlfn.LOGNORM.DIST((BY$8-$B30),$BD$2,$BD$3,TRUE),_xlfn.LOGNORM.DIST((BY$8-$B30+1),$BD$2,$BD$3,TRUE))*$AW30</f>
        <v>5.6425667973168574</v>
      </c>
      <c r="BZ30">
        <f t="shared" si="78"/>
        <v>23.788212204132194</v>
      </c>
      <c r="CA30">
        <f t="shared" si="78"/>
        <v>33.287039620619915</v>
      </c>
      <c r="CB30">
        <f t="shared" si="78"/>
        <v>35.417508435539439</v>
      </c>
      <c r="CC30">
        <f t="shared" si="78"/>
        <v>34.157234414678108</v>
      </c>
      <c r="CD30">
        <f t="shared" si="78"/>
        <v>31.552426362070538</v>
      </c>
      <c r="CE30">
        <f t="shared" si="78"/>
        <v>28.549311644870393</v>
      </c>
      <c r="CF30">
        <f t="shared" si="78"/>
        <v>25.571416089324988</v>
      </c>
      <c r="CG30">
        <f t="shared" si="78"/>
        <v>22.797289466893215</v>
      </c>
      <c r="CH30">
        <f t="shared" si="78"/>
        <v>20.290258270693233</v>
      </c>
      <c r="CI30">
        <f t="shared" si="78"/>
        <v>18.05992473495645</v>
      </c>
      <c r="CJ30">
        <f t="shared" si="78"/>
        <v>16.091834349611361</v>
      </c>
      <c r="CK30">
        <f t="shared" si="78"/>
        <v>14.361925791101568</v>
      </c>
      <c r="CL30">
        <f t="shared" si="78"/>
        <v>12.843532284352664</v>
      </c>
      <c r="CM30">
        <f t="shared" si="78"/>
        <v>11.510672984670574</v>
      </c>
      <c r="CN30">
        <f t="shared" si="78"/>
        <v>10.339480828084245</v>
      </c>
      <c r="CO30">
        <f t="shared" si="78"/>
        <v>9.3086981177873014</v>
      </c>
      <c r="CP30">
        <f t="shared" si="78"/>
        <v>8.3997164689402961</v>
      </c>
      <c r="CQ30">
        <f t="shared" si="78"/>
        <v>7.5964067359215424</v>
      </c>
      <c r="CR30">
        <f t="shared" si="78"/>
        <v>6.8848650899537374</v>
      </c>
      <c r="CS30">
        <f t="shared" si="78"/>
        <v>6.2531388835207986</v>
      </c>
      <c r="CT30">
        <f t="shared" si="78"/>
        <v>5.6909630169193077</v>
      </c>
      <c r="CU30">
        <f t="shared" si="78"/>
        <v>5.1895202347379668</v>
      </c>
      <c r="CV30">
        <f t="shared" si="78"/>
        <v>4.7412298318952857</v>
      </c>
      <c r="CW30">
        <f t="shared" si="78"/>
        <v>4.3395647709964313</v>
      </c>
      <c r="CX30">
        <f t="shared" si="78"/>
        <v>3.9788951265451611</v>
      </c>
      <c r="CY30">
        <f t="shared" si="78"/>
        <v>3.6543549503033983</v>
      </c>
      <c r="CZ30">
        <f t="shared" si="78"/>
        <v>3.3617294825077959</v>
      </c>
      <c r="DA30">
        <f t="shared" si="78"/>
        <v>3.0973597823268846</v>
      </c>
      <c r="DB30">
        <f t="shared" si="78"/>
        <v>2.8580621382614289</v>
      </c>
      <c r="DC30">
        <f t="shared" si="78"/>
        <v>2.6410599504192587</v>
      </c>
      <c r="DD30">
        <f t="shared" si="78"/>
        <v>2.4439261037362003</v>
      </c>
      <c r="DE30">
        <f t="shared" ref="DE30:DW30" si="79">IF((DE$8-$B30)&gt;0,_xlfn.LOGNORM.DIST((DE$8-$B30+1),$BD$2,$BD$3,TRUE)-_xlfn.LOGNORM.DIST((DE$8-$B30),$BD$2,$BD$3,TRUE),_xlfn.LOGNORM.DIST((DE$8-$B30+1),$BD$2,$BD$3,TRUE))*$AW30</f>
        <v>2.264534151894444</v>
      </c>
      <c r="DF30">
        <f t="shared" si="79"/>
        <v>2.1010168972669701</v>
      </c>
      <c r="DG30">
        <f t="shared" si="79"/>
        <v>1.951731181268235</v>
      </c>
      <c r="DH30">
        <f t="shared" si="79"/>
        <v>1.8152278940806204</v>
      </c>
      <c r="DI30">
        <f t="shared" si="79"/>
        <v>1.690226376451311</v>
      </c>
      <c r="DJ30">
        <f t="shared" si="79"/>
        <v>1.5755925231722567</v>
      </c>
      <c r="DK30">
        <f t="shared" si="79"/>
        <v>1.4703200118957125</v>
      </c>
      <c r="DL30">
        <f t="shared" si="79"/>
        <v>1.3735141757423093</v>
      </c>
      <c r="DM30">
        <f t="shared" si="79"/>
        <v>1.2843781168598556</v>
      </c>
      <c r="DN30">
        <f t="shared" si="79"/>
        <v>1.2022007234326861</v>
      </c>
      <c r="DO30">
        <f t="shared" si="79"/>
        <v>1.126346306899209</v>
      </c>
      <c r="DP30">
        <f t="shared" si="79"/>
        <v>1.0562456212368232</v>
      </c>
      <c r="DQ30">
        <f t="shared" si="79"/>
        <v>0.99138806370014443</v>
      </c>
      <c r="DR30">
        <f t="shared" si="79"/>
        <v>0.9313148876795575</v>
      </c>
      <c r="DS30">
        <f t="shared" si="79"/>
        <v>0.87561328444880349</v>
      </c>
      <c r="DT30">
        <f t="shared" si="79"/>
        <v>0.82391121240434939</v>
      </c>
      <c r="DU30">
        <f t="shared" si="79"/>
        <v>0.7758728706888135</v>
      </c>
      <c r="DV30">
        <f t="shared" si="79"/>
        <v>0.73119472943912345</v>
      </c>
      <c r="DW30" s="4">
        <f t="shared" si="79"/>
        <v>0.68960204181397666</v>
      </c>
      <c r="DZ30" s="8">
        <f t="shared" si="30"/>
        <v>752.17852654918102</v>
      </c>
      <c r="EB30" s="3">
        <f t="shared" si="31"/>
        <v>5614.0561160871121</v>
      </c>
      <c r="EF30" s="3">
        <f t="shared" si="32"/>
        <v>40315.84564096776</v>
      </c>
      <c r="EG30">
        <f t="shared" si="33"/>
        <v>0.90008894159501918</v>
      </c>
      <c r="EH30">
        <f t="shared" si="34"/>
        <v>36287.846832486837</v>
      </c>
      <c r="EI30" s="4">
        <f>SUM($EH$10:EH30)</f>
        <v>711691.35221972631</v>
      </c>
      <c r="EJ30" s="4">
        <f t="shared" si="42"/>
        <v>711.69135221972635</v>
      </c>
      <c r="EN30" s="3">
        <f t="shared" si="35"/>
        <v>490.93525409145042</v>
      </c>
      <c r="EO30">
        <v>6.9322316064768001</v>
      </c>
      <c r="EP30">
        <f t="shared" si="36"/>
        <v>497.86748569792724</v>
      </c>
      <c r="EQ30">
        <f>SUM($EP$10:EP30)</f>
        <v>9703.9492273562191</v>
      </c>
      <c r="ER30">
        <f t="shared" si="37"/>
        <v>231924386.5338136</v>
      </c>
      <c r="ES30" s="4">
        <f t="shared" si="38"/>
        <v>137.98341376829239</v>
      </c>
    </row>
    <row r="31" spans="1:149" x14ac:dyDescent="0.25">
      <c r="A31" s="41"/>
      <c r="B31" s="39">
        <v>2011</v>
      </c>
      <c r="C31">
        <v>311591124</v>
      </c>
      <c r="D31" s="40">
        <f t="shared" si="6"/>
        <v>311.59112399999998</v>
      </c>
      <c r="E31" s="11">
        <v>884.47851295865553</v>
      </c>
      <c r="F31" s="5">
        <f t="shared" si="8"/>
        <v>468.77361186808747</v>
      </c>
      <c r="G31" s="15">
        <v>168.43321152000001</v>
      </c>
      <c r="H31">
        <v>664</v>
      </c>
      <c r="I31" s="15">
        <v>86.794665120000005</v>
      </c>
      <c r="J31">
        <v>88200</v>
      </c>
      <c r="K31" s="15">
        <v>0.53</v>
      </c>
      <c r="L31" s="14">
        <f t="shared" si="10"/>
        <v>-3998.0283999014018</v>
      </c>
      <c r="N31" s="7">
        <f t="shared" si="11"/>
        <v>817.55597409231723</v>
      </c>
      <c r="O31" s="5">
        <f t="shared" si="12"/>
        <v>716.04530143865554</v>
      </c>
      <c r="P31">
        <v>88200</v>
      </c>
      <c r="Q31" s="5">
        <v>0.53</v>
      </c>
      <c r="R31" s="5">
        <f t="shared" si="13"/>
        <v>38217.471564919462</v>
      </c>
      <c r="S31" s="5">
        <f t="shared" si="14"/>
        <v>433.30466626892814</v>
      </c>
      <c r="T31" s="5">
        <f t="shared" si="15"/>
        <v>379.50400976248744</v>
      </c>
      <c r="U31" s="6">
        <f t="shared" si="16"/>
        <v>34470.22508115766</v>
      </c>
      <c r="W31" s="9">
        <f t="shared" si="17"/>
        <v>34470.22508115766</v>
      </c>
      <c r="AA31" s="18">
        <v>6.5775681341719072E-2</v>
      </c>
      <c r="AB31">
        <v>0.36</v>
      </c>
      <c r="AC31" s="6">
        <f t="shared" si="39"/>
        <v>938.69640430814752</v>
      </c>
      <c r="AD31" s="5"/>
      <c r="AE31" s="5"/>
      <c r="AF31" s="5"/>
      <c r="AG31" s="5"/>
      <c r="AH31" s="20">
        <v>2.1488469601677149E-2</v>
      </c>
      <c r="AJ31" s="3">
        <v>1.7999999999999999E-2</v>
      </c>
      <c r="AK31">
        <f t="shared" si="18"/>
        <v>6.8310721757247732</v>
      </c>
      <c r="AL31" s="6">
        <f t="shared" si="19"/>
        <v>687.91448816855029</v>
      </c>
      <c r="AO31" s="5">
        <f t="shared" si="1"/>
        <v>-69.994046316442621</v>
      </c>
      <c r="AP31" s="5">
        <f t="shared" si="20"/>
        <v>6434.2515183162222</v>
      </c>
      <c r="AQ31" s="5">
        <f t="shared" si="21"/>
        <v>-4725.8770724526612</v>
      </c>
      <c r="AR31" s="6">
        <f t="shared" si="22"/>
        <v>468331.01228612725</v>
      </c>
      <c r="AS31" s="5"/>
      <c r="AT31" s="5"/>
      <c r="AV31" s="3">
        <f t="shared" si="49"/>
        <v>39184.829344950231</v>
      </c>
      <c r="AW31" s="5">
        <f t="shared" si="2"/>
        <v>468.77361186808747</v>
      </c>
      <c r="AX31" s="5">
        <v>538.76765818453009</v>
      </c>
      <c r="AZ31">
        <f t="shared" si="24"/>
        <v>0</v>
      </c>
      <c r="BA31" s="5">
        <f t="shared" si="25"/>
        <v>11.272808660090021</v>
      </c>
      <c r="BB31" s="5">
        <f t="shared" si="26"/>
        <v>11.272808660090021</v>
      </c>
      <c r="BZ31">
        <f t="shared" ref="BZ31:DE31" si="80">IF((BZ$8-$B31)&gt;0,_xlfn.LOGNORM.DIST((BZ$8-$B31+1),$BD$2,$BD$3,TRUE)-_xlfn.LOGNORM.DIST((BZ$8-$B31),$BD$2,$BD$3,TRUE),_xlfn.LOGNORM.DIST((BZ$8-$B31+1),$BD$2,$BD$3,TRUE))*$AW31</f>
        <v>5.7015881206229384</v>
      </c>
      <c r="CA31">
        <f t="shared" si="80"/>
        <v>24.037037218315703</v>
      </c>
      <c r="CB31">
        <f t="shared" si="80"/>
        <v>33.635222495173601</v>
      </c>
      <c r="CC31">
        <f t="shared" si="80"/>
        <v>35.78797604206629</v>
      </c>
      <c r="CD31">
        <f t="shared" si="80"/>
        <v>34.514519538283373</v>
      </c>
      <c r="CE31">
        <f t="shared" si="80"/>
        <v>31.882465159004699</v>
      </c>
      <c r="CF31">
        <f t="shared" si="80"/>
        <v>28.847937822155387</v>
      </c>
      <c r="CG31">
        <f t="shared" si="80"/>
        <v>25.838893439725176</v>
      </c>
      <c r="CH31">
        <f t="shared" si="80"/>
        <v>23.035749416143201</v>
      </c>
      <c r="CI31">
        <f t="shared" si="80"/>
        <v>20.502494640482944</v>
      </c>
      <c r="CJ31">
        <f t="shared" si="80"/>
        <v>18.248831786472831</v>
      </c>
      <c r="CK31">
        <f t="shared" si="80"/>
        <v>16.260155149674898</v>
      </c>
      <c r="CL31">
        <f t="shared" si="80"/>
        <v>14.512151724770201</v>
      </c>
      <c r="CM31">
        <f t="shared" si="80"/>
        <v>12.977875801864471</v>
      </c>
      <c r="CN31">
        <f t="shared" si="80"/>
        <v>11.63107477628461</v>
      </c>
      <c r="CO31">
        <f t="shared" si="80"/>
        <v>10.447631934254858</v>
      </c>
      <c r="CP31">
        <f t="shared" si="80"/>
        <v>9.4060672231791767</v>
      </c>
      <c r="CQ31">
        <f t="shared" si="80"/>
        <v>8.4875776142666552</v>
      </c>
      <c r="CR31">
        <f t="shared" si="80"/>
        <v>7.6758652508191458</v>
      </c>
      <c r="CS31">
        <f t="shared" si="80"/>
        <v>6.956880869826497</v>
      </c>
      <c r="CT31">
        <f t="shared" si="80"/>
        <v>6.3185467989215711</v>
      </c>
      <c r="CU31">
        <f t="shared" si="80"/>
        <v>5.7504905653223268</v>
      </c>
      <c r="CV31">
        <f t="shared" si="80"/>
        <v>5.2438026850092809</v>
      </c>
      <c r="CW31">
        <f t="shared" si="80"/>
        <v>4.7908231586255594</v>
      </c>
      <c r="CX31">
        <f t="shared" si="80"/>
        <v>4.3849566758788781</v>
      </c>
      <c r="CY31">
        <f t="shared" si="80"/>
        <v>4.0205144221778655</v>
      </c>
      <c r="CZ31">
        <f t="shared" si="80"/>
        <v>3.6925795514015367</v>
      </c>
      <c r="DA31">
        <f t="shared" si="80"/>
        <v>3.3968932173436914</v>
      </c>
      <c r="DB31">
        <f t="shared" si="80"/>
        <v>3.1297582066033853</v>
      </c>
      <c r="DC31">
        <f t="shared" si="80"/>
        <v>2.8879575060170062</v>
      </c>
      <c r="DD31">
        <f t="shared" si="80"/>
        <v>2.6686854724207989</v>
      </c>
      <c r="DE31">
        <f t="shared" si="80"/>
        <v>2.4694896030949276</v>
      </c>
      <c r="DF31">
        <f t="shared" ref="DF31:DW31" si="81">IF((DF$8-$B31)&gt;0,_xlfn.LOGNORM.DIST((DF$8-$B31+1),$BD$2,$BD$3,TRUE)-_xlfn.LOGNORM.DIST((DF$8-$B31),$BD$2,$BD$3,TRUE),_xlfn.LOGNORM.DIST((DF$8-$B31+1),$BD$2,$BD$3,TRUE))*$AW31</f>
        <v>2.2882212090649818</v>
      </c>
      <c r="DG31">
        <f t="shared" si="81"/>
        <v>2.1229935617920761</v>
      </c>
      <c r="DH31">
        <f t="shared" si="81"/>
        <v>1.9721463152301351</v>
      </c>
      <c r="DI31">
        <f t="shared" si="81"/>
        <v>1.8342152018536884</v>
      </c>
      <c r="DJ31">
        <f t="shared" si="81"/>
        <v>1.7079061666972035</v>
      </c>
      <c r="DK31">
        <f t="shared" si="81"/>
        <v>1.592073241797159</v>
      </c>
      <c r="DL31">
        <f t="shared" si="81"/>
        <v>1.4856995786607465</v>
      </c>
      <c r="DM31">
        <f t="shared" si="81"/>
        <v>1.3878811521812098</v>
      </c>
      <c r="DN31">
        <f t="shared" si="81"/>
        <v>1.2978127289442865</v>
      </c>
      <c r="DO31">
        <f t="shared" si="81"/>
        <v>1.2147757588953176</v>
      </c>
      <c r="DP31">
        <f t="shared" si="81"/>
        <v>1.1381279041619512</v>
      </c>
      <c r="DQ31">
        <f t="shared" si="81"/>
        <v>1.067293964400664</v>
      </c>
      <c r="DR31">
        <f t="shared" si="81"/>
        <v>1.0017579959546035</v>
      </c>
      <c r="DS31">
        <f t="shared" si="81"/>
        <v>0.9410564537185524</v>
      </c>
      <c r="DT31">
        <f t="shared" si="81"/>
        <v>0.88477221098151682</v>
      </c>
      <c r="DU31">
        <f t="shared" si="81"/>
        <v>0.83252933457987177</v>
      </c>
      <c r="DV31">
        <f t="shared" si="81"/>
        <v>0.78398851117482726</v>
      </c>
      <c r="DW31" s="4">
        <f t="shared" si="81"/>
        <v>0.73884303597693013</v>
      </c>
      <c r="DZ31" s="8">
        <f t="shared" si="30"/>
        <v>842.02201422586973</v>
      </c>
      <c r="EB31" s="3">
        <f t="shared" si="31"/>
        <v>5732.6207347379195</v>
      </c>
      <c r="EF31" s="3">
        <f t="shared" si="32"/>
        <v>39872.74383311878</v>
      </c>
      <c r="EG31">
        <f t="shared" si="33"/>
        <v>0.91273584905660377</v>
      </c>
      <c r="EH31">
        <f t="shared" si="34"/>
        <v>36393.282696738133</v>
      </c>
      <c r="EI31" s="4">
        <f>SUM($EH$10:EH31)</f>
        <v>748084.63491646445</v>
      </c>
      <c r="EJ31" s="4">
        <f t="shared" si="42"/>
        <v>748.08463491646444</v>
      </c>
      <c r="EN31" s="3">
        <f t="shared" si="35"/>
        <v>491.75255593729514</v>
      </c>
      <c r="EO31">
        <v>7.0404593698527744</v>
      </c>
      <c r="EP31">
        <f t="shared" si="36"/>
        <v>498.79301530714793</v>
      </c>
      <c r="EQ31">
        <f>SUM($EP$10:EP31)</f>
        <v>10202.742242663368</v>
      </c>
      <c r="ER31">
        <f t="shared" si="37"/>
        <v>243845539.59965447</v>
      </c>
      <c r="ES31" s="4">
        <f t="shared" si="38"/>
        <v>145.07590378481444</v>
      </c>
    </row>
    <row r="32" spans="1:149" x14ac:dyDescent="0.25">
      <c r="A32" s="41"/>
      <c r="B32" s="39">
        <v>2012</v>
      </c>
      <c r="C32">
        <v>313891713</v>
      </c>
      <c r="D32" s="40">
        <f t="shared" si="6"/>
        <v>313.89171299999998</v>
      </c>
      <c r="E32" s="11">
        <v>862.46986085243702</v>
      </c>
      <c r="F32" s="5">
        <f t="shared" si="8"/>
        <v>412.26059348746486</v>
      </c>
      <c r="G32" s="15">
        <v>178.74544896</v>
      </c>
      <c r="H32">
        <v>664</v>
      </c>
      <c r="I32" s="15">
        <v>84.216605760000007</v>
      </c>
      <c r="J32">
        <v>88200</v>
      </c>
      <c r="K32" s="15">
        <v>0.47799999999999998</v>
      </c>
      <c r="L32" s="14">
        <f t="shared" si="10"/>
        <v>-3493.8060366629838</v>
      </c>
      <c r="N32" s="7">
        <f t="shared" si="11"/>
        <v>782.01732958496643</v>
      </c>
      <c r="O32" s="5">
        <f t="shared" si="12"/>
        <v>683.72441189243705</v>
      </c>
      <c r="P32">
        <v>88200</v>
      </c>
      <c r="Q32" s="5">
        <v>0.47799999999999998</v>
      </c>
      <c r="R32" s="5">
        <f t="shared" si="13"/>
        <v>32969.537808370354</v>
      </c>
      <c r="S32" s="5">
        <f t="shared" si="14"/>
        <v>373.80428354161393</v>
      </c>
      <c r="T32" s="5">
        <f t="shared" si="15"/>
        <v>326.82026888458489</v>
      </c>
      <c r="U32" s="6">
        <f t="shared" si="16"/>
        <v>30073.764563103159</v>
      </c>
      <c r="W32" s="9">
        <f t="shared" si="17"/>
        <v>30073.764563103159</v>
      </c>
      <c r="AA32" s="18">
        <v>8.4463276836158188E-2</v>
      </c>
      <c r="AB32">
        <v>0.36</v>
      </c>
      <c r="AC32" s="6">
        <f t="shared" si="39"/>
        <v>1191.4844719464527</v>
      </c>
      <c r="AD32" s="5"/>
      <c r="AE32" s="5"/>
      <c r="AF32" s="5"/>
      <c r="AG32" s="5"/>
      <c r="AH32" s="20">
        <v>1.4971751412429379E-2</v>
      </c>
      <c r="AJ32" s="3">
        <v>1.7999999999999999E-2</v>
      </c>
      <c r="AK32">
        <f t="shared" si="18"/>
        <v>5.8827648399225279</v>
      </c>
      <c r="AL32" s="6">
        <f t="shared" si="19"/>
        <v>593.45168055066631</v>
      </c>
      <c r="AO32" s="5">
        <f t="shared" si="1"/>
        <v>-118.04048044338975</v>
      </c>
      <c r="AP32" s="5">
        <f t="shared" si="20"/>
        <v>6316.2110378728321</v>
      </c>
      <c r="AQ32" s="5">
        <f t="shared" si="21"/>
        <v>-8536.4202426588672</v>
      </c>
      <c r="AR32" s="6">
        <f t="shared" si="22"/>
        <v>459794.59204346838</v>
      </c>
      <c r="AS32" s="5"/>
      <c r="AT32" s="5"/>
      <c r="AV32" s="3">
        <f t="shared" si="49"/>
        <v>38599.118804023674</v>
      </c>
      <c r="AW32" s="5">
        <f t="shared" si="2"/>
        <v>412.26059348746486</v>
      </c>
      <c r="AX32" s="5">
        <v>530.30107393085461</v>
      </c>
      <c r="AZ32">
        <f t="shared" si="24"/>
        <v>0</v>
      </c>
      <c r="BA32" s="5">
        <f t="shared" si="25"/>
        <v>11.066001738353201</v>
      </c>
      <c r="BB32" s="5">
        <f t="shared" si="26"/>
        <v>11.066001738353201</v>
      </c>
      <c r="CA32">
        <f t="shared" ref="CA32:DF32" si="82">IF((CA$8-$B32)&gt;0,_xlfn.LOGNORM.DIST((CA$8-$B32+1),$BD$2,$BD$3,TRUE)-_xlfn.LOGNORM.DIST((CA$8-$B32),$BD$2,$BD$3,TRUE),_xlfn.LOGNORM.DIST((CA$8-$B32+1),$BD$2,$BD$3,TRUE))*$AW32</f>
        <v>5.014232974979258</v>
      </c>
      <c r="CB32">
        <f t="shared" si="82"/>
        <v>21.139251396453698</v>
      </c>
      <c r="CC32">
        <f t="shared" si="82"/>
        <v>29.580327127810286</v>
      </c>
      <c r="CD32">
        <f t="shared" si="82"/>
        <v>31.473555399208731</v>
      </c>
      <c r="CE32">
        <f t="shared" si="82"/>
        <v>30.353620486622933</v>
      </c>
      <c r="CF32">
        <f t="shared" si="82"/>
        <v>28.038873510639025</v>
      </c>
      <c r="CG32">
        <f t="shared" si="82"/>
        <v>25.370173717879641</v>
      </c>
      <c r="CH32">
        <f t="shared" si="82"/>
        <v>22.723884781121228</v>
      </c>
      <c r="CI32">
        <f t="shared" si="82"/>
        <v>20.258673878597268</v>
      </c>
      <c r="CJ32">
        <f t="shared" si="82"/>
        <v>18.030815716729286</v>
      </c>
      <c r="CK32">
        <f t="shared" si="82"/>
        <v>16.048843263091452</v>
      </c>
      <c r="CL32">
        <f t="shared" si="82"/>
        <v>14.299911604430433</v>
      </c>
      <c r="CM32">
        <f t="shared" si="82"/>
        <v>12.7626387905927</v>
      </c>
      <c r="CN32">
        <f t="shared" si="82"/>
        <v>11.413327552637107</v>
      </c>
      <c r="CO32">
        <f t="shared" si="82"/>
        <v>10.228890169520666</v>
      </c>
      <c r="CP32">
        <f t="shared" si="82"/>
        <v>9.1881173186995131</v>
      </c>
      <c r="CQ32">
        <f t="shared" si="82"/>
        <v>8.2721184760332331</v>
      </c>
      <c r="CR32">
        <f t="shared" si="82"/>
        <v>7.4643574124926095</v>
      </c>
      <c r="CS32">
        <f t="shared" si="82"/>
        <v>6.7505010600361715</v>
      </c>
      <c r="CT32">
        <f t="shared" si="82"/>
        <v>6.1181938650235477</v>
      </c>
      <c r="CU32">
        <f t="shared" si="82"/>
        <v>5.5568141792817931</v>
      </c>
      <c r="CV32">
        <f t="shared" si="82"/>
        <v>5.0572399838303248</v>
      </c>
      <c r="CW32">
        <f t="shared" si="82"/>
        <v>4.6116358777921578</v>
      </c>
      <c r="CX32">
        <f t="shared" si="82"/>
        <v>4.2132653132878275</v>
      </c>
      <c r="CY32">
        <f t="shared" si="82"/>
        <v>3.8563280778768441</v>
      </c>
      <c r="CZ32">
        <f t="shared" si="82"/>
        <v>3.5358211722002344</v>
      </c>
      <c r="DA32">
        <f t="shared" si="82"/>
        <v>3.2474205006847732</v>
      </c>
      <c r="DB32">
        <f t="shared" si="82"/>
        <v>2.9873806424703937</v>
      </c>
      <c r="DC32">
        <f t="shared" si="82"/>
        <v>2.7524501018407537</v>
      </c>
      <c r="DD32">
        <f t="shared" si="82"/>
        <v>2.5397996927612496</v>
      </c>
      <c r="DE32">
        <f t="shared" si="82"/>
        <v>2.3469620064731114</v>
      </c>
      <c r="DF32">
        <f t="shared" si="82"/>
        <v>2.1717802018035179</v>
      </c>
      <c r="DG32">
        <f t="shared" ref="DG32:DW32" si="83">IF((DG$8-$B32)&gt;0,_xlfn.LOGNORM.DIST((DG$8-$B32+1),$BD$2,$BD$3,TRUE)-_xlfn.LOGNORM.DIST((DG$8-$B32),$BD$2,$BD$3,TRUE),_xlfn.LOGNORM.DIST((DG$8-$B32+1),$BD$2,$BD$3,TRUE))*$AW32</f>
        <v>2.0123646250488818</v>
      </c>
      <c r="DH32">
        <f t="shared" si="83"/>
        <v>1.8670560022921177</v>
      </c>
      <c r="DI32">
        <f t="shared" si="83"/>
        <v>1.7343941505599951</v>
      </c>
      <c r="DJ32">
        <f t="shared" si="83"/>
        <v>1.6130913271473111</v>
      </c>
      <c r="DK32">
        <f t="shared" si="83"/>
        <v>1.5020094819279717</v>
      </c>
      <c r="DL32">
        <f t="shared" si="83"/>
        <v>1.4001407991444386</v>
      </c>
      <c r="DM32">
        <f t="shared" si="83"/>
        <v>1.3065910165077967</v>
      </c>
      <c r="DN32">
        <f t="shared" si="83"/>
        <v>1.2205650936881232</v>
      </c>
      <c r="DO32">
        <f t="shared" si="83"/>
        <v>1.1413548722122118</v>
      </c>
      <c r="DP32">
        <f t="shared" si="83"/>
        <v>1.0683284268511579</v>
      </c>
      <c r="DQ32">
        <f t="shared" si="83"/>
        <v>1.0009208567961896</v>
      </c>
      <c r="DR32">
        <f t="shared" si="83"/>
        <v>0.93862630500034094</v>
      </c>
      <c r="DS32">
        <f t="shared" si="83"/>
        <v>0.88099102741148327</v>
      </c>
      <c r="DT32">
        <f t="shared" si="83"/>
        <v>0.82760736161998638</v>
      </c>
      <c r="DU32">
        <f t="shared" si="83"/>
        <v>0.77810846763938335</v>
      </c>
      <c r="DV32">
        <f t="shared" si="83"/>
        <v>0.73216373294110182</v>
      </c>
      <c r="DW32" s="4">
        <f t="shared" si="83"/>
        <v>0.68947475011720294</v>
      </c>
      <c r="DZ32" s="8">
        <f t="shared" si="30"/>
        <v>577.89641147267082</v>
      </c>
      <c r="EB32" s="3">
        <f t="shared" si="31"/>
        <v>4945.4306712555526</v>
      </c>
      <c r="EF32" s="3">
        <f t="shared" si="32"/>
        <v>39192.570484574338</v>
      </c>
      <c r="EG32">
        <f t="shared" si="33"/>
        <v>0.90056497175141248</v>
      </c>
      <c r="EH32">
        <f t="shared" si="34"/>
        <v>35295.456131305931</v>
      </c>
      <c r="EI32" s="4">
        <f>SUM($EH$10:EH32)</f>
        <v>783380.09104777034</v>
      </c>
      <c r="EJ32" s="4">
        <f t="shared" si="42"/>
        <v>783.38009104777029</v>
      </c>
      <c r="EN32" s="3">
        <f t="shared" si="35"/>
        <v>477.57057166428376</v>
      </c>
      <c r="EO32">
        <v>6.0716083848153275</v>
      </c>
      <c r="EP32">
        <f t="shared" si="36"/>
        <v>483.64218004909907</v>
      </c>
      <c r="EQ32">
        <f>SUM($EP$10:EP32)</f>
        <v>10686.384422712466</v>
      </c>
      <c r="ER32">
        <f t="shared" si="37"/>
        <v>255404587.70282793</v>
      </c>
      <c r="ES32" s="4">
        <f t="shared" si="38"/>
        <v>151.95295945379749</v>
      </c>
    </row>
    <row r="33" spans="1:149" x14ac:dyDescent="0.25">
      <c r="A33" s="41"/>
      <c r="B33" s="39">
        <v>2013</v>
      </c>
      <c r="C33">
        <v>316079153</v>
      </c>
      <c r="D33" s="40">
        <f t="shared" si="6"/>
        <v>316.07915300000002</v>
      </c>
      <c r="E33" s="11">
        <v>877.85429590080003</v>
      </c>
      <c r="F33" s="5">
        <f t="shared" si="8"/>
        <v>409.95795618567365</v>
      </c>
      <c r="G33" s="15">
        <v>180.90451560960003</v>
      </c>
      <c r="H33">
        <v>664</v>
      </c>
      <c r="I33" s="15">
        <v>89.614736899199997</v>
      </c>
      <c r="J33">
        <v>88200</v>
      </c>
      <c r="K33" s="15">
        <v>0.46700000000000003</v>
      </c>
      <c r="L33" s="14">
        <f t="shared" si="10"/>
        <v>-3635.0809245995592</v>
      </c>
      <c r="N33" s="7">
        <f t="shared" si="11"/>
        <v>800.98219673156825</v>
      </c>
      <c r="O33" s="5">
        <f t="shared" si="12"/>
        <v>696.9497802912</v>
      </c>
      <c r="P33">
        <v>88200</v>
      </c>
      <c r="Q33" s="5">
        <v>0.46700000000000003</v>
      </c>
      <c r="R33" s="5">
        <f t="shared" si="13"/>
        <v>32991.976094055259</v>
      </c>
      <c r="S33" s="5">
        <f t="shared" si="14"/>
        <v>374.05868587364239</v>
      </c>
      <c r="T33" s="5">
        <f t="shared" si="15"/>
        <v>325.47554739599042</v>
      </c>
      <c r="U33" s="6">
        <f t="shared" si="16"/>
        <v>29505.069059651258</v>
      </c>
      <c r="W33" s="9">
        <f t="shared" si="17"/>
        <v>29505.069059651258</v>
      </c>
      <c r="AA33" s="18">
        <v>5.3399999999999989E-2</v>
      </c>
      <c r="AB33">
        <v>0.36</v>
      </c>
      <c r="AC33" s="6">
        <f t="shared" si="39"/>
        <v>742.02945988855095</v>
      </c>
      <c r="AD33" s="5"/>
      <c r="AE33" s="5"/>
      <c r="AF33" s="5"/>
      <c r="AG33" s="5"/>
      <c r="AH33" s="20">
        <v>2.1648648648648645E-2</v>
      </c>
      <c r="AJ33" s="3">
        <v>1.7999999999999999E-2</v>
      </c>
      <c r="AK33">
        <f t="shared" si="18"/>
        <v>5.8585598531278267</v>
      </c>
      <c r="AL33" s="6">
        <f t="shared" si="19"/>
        <v>593.85556969299466</v>
      </c>
      <c r="AO33" s="5">
        <f t="shared" si="1"/>
        <v>-109.73753318262914</v>
      </c>
      <c r="AP33" s="5">
        <f t="shared" si="20"/>
        <v>6206.4735046902033</v>
      </c>
      <c r="AQ33" s="5">
        <f t="shared" si="21"/>
        <v>-8337.5322933299685</v>
      </c>
      <c r="AR33" s="6">
        <f t="shared" si="22"/>
        <v>451457.05975013843</v>
      </c>
      <c r="AS33" s="5"/>
      <c r="AT33" s="5"/>
      <c r="AV33" s="3">
        <f t="shared" si="49"/>
        <v>37831.727611401009</v>
      </c>
      <c r="AW33" s="5">
        <f t="shared" si="2"/>
        <v>409.95795618567365</v>
      </c>
      <c r="AX33" s="5">
        <v>519.69548936830279</v>
      </c>
      <c r="AZ33">
        <f t="shared" si="24"/>
        <v>0</v>
      </c>
      <c r="BA33" s="5">
        <f t="shared" si="25"/>
        <v>10.873741580217237</v>
      </c>
      <c r="BB33" s="5">
        <f t="shared" si="26"/>
        <v>10.873741580217237</v>
      </c>
      <c r="CB33">
        <f t="shared" ref="CB33:DW33" si="84">IF((CB$8-$B33)&gt;0,_xlfn.LOGNORM.DIST((CB$8-$B33+1),$BD$2,$BD$3,TRUE)-_xlfn.LOGNORM.DIST((CB$8-$B33),$BD$2,$BD$3,TRUE),_xlfn.LOGNORM.DIST((CB$8-$B33+1),$BD$2,$BD$3,TRUE))*$AW33</f>
        <v>4.9862265148167975</v>
      </c>
      <c r="CC33">
        <f t="shared" si="84"/>
        <v>21.021180376408715</v>
      </c>
      <c r="CD33">
        <f t="shared" si="84"/>
        <v>29.415109385150256</v>
      </c>
      <c r="CE33">
        <f t="shared" si="84"/>
        <v>31.297763233216969</v>
      </c>
      <c r="CF33">
        <f t="shared" si="84"/>
        <v>30.184083596895835</v>
      </c>
      <c r="CG33">
        <f t="shared" si="84"/>
        <v>27.882265391731426</v>
      </c>
      <c r="CH33">
        <f t="shared" si="84"/>
        <v>25.228471335263997</v>
      </c>
      <c r="CI33">
        <f t="shared" si="84"/>
        <v>22.596962961366447</v>
      </c>
      <c r="CJ33">
        <f t="shared" si="84"/>
        <v>20.145521229776129</v>
      </c>
      <c r="CK33">
        <f t="shared" si="84"/>
        <v>17.930106530581163</v>
      </c>
      <c r="CL33">
        <f t="shared" si="84"/>
        <v>15.959204171381081</v>
      </c>
      <c r="CM33">
        <f t="shared" si="84"/>
        <v>14.220040982807026</v>
      </c>
      <c r="CN33">
        <f t="shared" si="84"/>
        <v>12.691354441293377</v>
      </c>
      <c r="CO33">
        <f t="shared" si="84"/>
        <v>11.349579636451509</v>
      </c>
      <c r="CP33">
        <f t="shared" si="84"/>
        <v>10.17175780122658</v>
      </c>
      <c r="CQ33">
        <f t="shared" si="84"/>
        <v>9.1367980754696489</v>
      </c>
      <c r="CR33">
        <f t="shared" si="84"/>
        <v>8.2259154460355823</v>
      </c>
      <c r="CS33">
        <f t="shared" si="84"/>
        <v>7.4226660452277686</v>
      </c>
      <c r="CT33">
        <f t="shared" si="84"/>
        <v>6.712796860818079</v>
      </c>
      <c r="CU33">
        <f t="shared" si="84"/>
        <v>6.0840213497850231</v>
      </c>
      <c r="CV33">
        <f t="shared" si="84"/>
        <v>5.5257771900316293</v>
      </c>
      <c r="CW33">
        <f t="shared" si="84"/>
        <v>5.028993312635369</v>
      </c>
      <c r="CX33">
        <f t="shared" si="84"/>
        <v>4.5858780805099739</v>
      </c>
      <c r="CY33">
        <f t="shared" si="84"/>
        <v>4.1897325720412049</v>
      </c>
      <c r="CZ33">
        <f t="shared" si="84"/>
        <v>3.834788971252689</v>
      </c>
      <c r="DA33">
        <f t="shared" si="84"/>
        <v>3.5160722225014585</v>
      </c>
      <c r="DB33">
        <f t="shared" si="84"/>
        <v>3.2292823819860583</v>
      </c>
      <c r="DC33">
        <f t="shared" si="84"/>
        <v>2.970694948492683</v>
      </c>
      <c r="DD33">
        <f t="shared" si="84"/>
        <v>2.7370765871853684</v>
      </c>
      <c r="DE33">
        <f t="shared" si="84"/>
        <v>2.5256139141444831</v>
      </c>
      <c r="DF33">
        <f t="shared" si="84"/>
        <v>2.3338533020580821</v>
      </c>
      <c r="DG33">
        <f t="shared" si="84"/>
        <v>2.1596499565582454</v>
      </c>
      <c r="DH33">
        <f t="shared" si="84"/>
        <v>2.0011247783993533</v>
      </c>
      <c r="DI33">
        <f t="shared" si="84"/>
        <v>1.8566277613607132</v>
      </c>
      <c r="DJ33">
        <f t="shared" si="84"/>
        <v>1.7247068781643875</v>
      </c>
      <c r="DK33">
        <f t="shared" si="84"/>
        <v>1.6040815786538543</v>
      </c>
      <c r="DL33">
        <f t="shared" si="84"/>
        <v>1.4936201691598656</v>
      </c>
      <c r="DM33">
        <f t="shared" si="84"/>
        <v>1.3923204629716392</v>
      </c>
      <c r="DN33">
        <f t="shared" si="84"/>
        <v>1.2992931926063047</v>
      </c>
      <c r="DO33">
        <f t="shared" si="84"/>
        <v>1.2137477583463789</v>
      </c>
      <c r="DP33">
        <f t="shared" si="84"/>
        <v>1.1349799570618095</v>
      </c>
      <c r="DQ33">
        <f t="shared" si="84"/>
        <v>1.0623613930742413</v>
      </c>
      <c r="DR33">
        <f t="shared" si="84"/>
        <v>0.99533032076774486</v>
      </c>
      <c r="DS33">
        <f t="shared" si="84"/>
        <v>0.93338370850560237</v>
      </c>
      <c r="DT33">
        <f t="shared" si="84"/>
        <v>0.87607034657439342</v>
      </c>
      <c r="DU33">
        <f t="shared" si="84"/>
        <v>0.8229848495191272</v>
      </c>
      <c r="DV33">
        <f t="shared" si="84"/>
        <v>0.7737624262987125</v>
      </c>
      <c r="DW33" s="4">
        <f t="shared" si="84"/>
        <v>0.72807431098537434</v>
      </c>
      <c r="DZ33" s="8">
        <f t="shared" si="30"/>
        <v>819.00577883060009</v>
      </c>
      <c r="EB33" s="3">
        <f t="shared" si="31"/>
        <v>4948.7964141082884</v>
      </c>
      <c r="EF33" s="3">
        <f t="shared" si="32"/>
        <v>38425.583181094007</v>
      </c>
      <c r="EG33">
        <f t="shared" si="33"/>
        <v>0.92495135135135131</v>
      </c>
      <c r="EH33">
        <f t="shared" si="34"/>
        <v>35541.79508981666</v>
      </c>
      <c r="EI33" s="4">
        <f>SUM($EH$10:EH33)</f>
        <v>818921.88613758702</v>
      </c>
      <c r="EJ33" s="4">
        <f t="shared" si="42"/>
        <v>818.92188613758697</v>
      </c>
      <c r="EN33" s="3">
        <f t="shared" si="35"/>
        <v>480.69304518241347</v>
      </c>
      <c r="EO33">
        <v>6.11009767397376</v>
      </c>
      <c r="EP33">
        <f t="shared" si="36"/>
        <v>486.80314285638724</v>
      </c>
      <c r="EQ33">
        <f>SUM($EP$10:EP33)</f>
        <v>11173.187565568853</v>
      </c>
      <c r="ER33">
        <f t="shared" si="37"/>
        <v>267039182.81709555</v>
      </c>
      <c r="ES33" s="4">
        <f t="shared" si="38"/>
        <v>158.87496181703099</v>
      </c>
    </row>
    <row r="34" spans="1:149" x14ac:dyDescent="0.25">
      <c r="A34" s="41"/>
      <c r="B34" s="39">
        <v>2014</v>
      </c>
      <c r="C34">
        <v>318410016</v>
      </c>
      <c r="D34" s="40">
        <f t="shared" si="6"/>
        <v>318.41001599999998</v>
      </c>
      <c r="E34" s="11">
        <v>873.84971036160005</v>
      </c>
      <c r="F34" s="5">
        <f t="shared" si="8"/>
        <v>408.96166444922886</v>
      </c>
      <c r="G34" s="15">
        <v>199.0280406528</v>
      </c>
      <c r="H34">
        <v>664</v>
      </c>
      <c r="I34" s="15">
        <v>81.568869120000002</v>
      </c>
      <c r="J34">
        <v>88200</v>
      </c>
      <c r="K34" s="15">
        <v>0.46800000000000003</v>
      </c>
      <c r="L34" s="14">
        <f t="shared" si="10"/>
        <v>-3305.1187902987735</v>
      </c>
      <c r="N34" s="7">
        <f t="shared" si="11"/>
        <v>770.25513119022412</v>
      </c>
      <c r="O34" s="5">
        <f t="shared" si="12"/>
        <v>674.82166970880007</v>
      </c>
      <c r="P34">
        <v>88200</v>
      </c>
      <c r="Q34" s="5">
        <v>0.46800000000000003</v>
      </c>
      <c r="R34" s="5">
        <f t="shared" si="13"/>
        <v>31794.283203217597</v>
      </c>
      <c r="S34" s="5">
        <f t="shared" si="14"/>
        <v>360.4794013970249</v>
      </c>
      <c r="T34" s="5">
        <f t="shared" si="15"/>
        <v>315.81654142371843</v>
      </c>
      <c r="U34" s="6">
        <f t="shared" si="16"/>
        <v>28368.542365125082</v>
      </c>
      <c r="W34" s="9">
        <f t="shared" si="17"/>
        <v>28368.542365125082</v>
      </c>
      <c r="AA34" s="18">
        <v>3.3164039696438996E-2</v>
      </c>
      <c r="AB34">
        <v>0.36</v>
      </c>
      <c r="AC34" s="6">
        <f t="shared" si="39"/>
        <v>451.67504986417327</v>
      </c>
      <c r="AD34" s="5"/>
      <c r="AE34" s="5"/>
      <c r="AF34" s="5"/>
      <c r="AG34" s="5"/>
      <c r="AH34" s="20">
        <v>4.4699357851722119E-2</v>
      </c>
      <c r="AJ34" s="3">
        <v>1.7999999999999999E-2</v>
      </c>
      <c r="AK34">
        <f t="shared" si="18"/>
        <v>5.6846977456269316</v>
      </c>
      <c r="AL34" s="6">
        <f t="shared" si="19"/>
        <v>572.29709765791677</v>
      </c>
      <c r="AO34" s="5">
        <f t="shared" si="1"/>
        <v>-99.445805207609681</v>
      </c>
      <c r="AP34" s="5">
        <f t="shared" si="20"/>
        <v>6107.0276994825936</v>
      </c>
      <c r="AQ34" s="5">
        <f t="shared" si="21"/>
        <v>-8623.5671595205877</v>
      </c>
      <c r="AR34" s="6">
        <f t="shared" si="22"/>
        <v>442833.49259061785</v>
      </c>
      <c r="AS34" s="5"/>
      <c r="AT34" s="5"/>
      <c r="AV34" s="3">
        <f t="shared" si="49"/>
        <v>36981.410012116175</v>
      </c>
      <c r="AW34" s="5">
        <f t="shared" si="2"/>
        <v>408.96166444922886</v>
      </c>
      <c r="AX34" s="5">
        <v>508.40746965683854</v>
      </c>
      <c r="AZ34">
        <f t="shared" si="24"/>
        <v>0</v>
      </c>
      <c r="BA34" s="5">
        <f t="shared" si="25"/>
        <v>10.699512529493504</v>
      </c>
      <c r="BB34" s="5">
        <f t="shared" si="26"/>
        <v>10.699512529493504</v>
      </c>
      <c r="CC34">
        <f t="shared" ref="CC34:DW34" si="85">IF((CC$8-$B34)&gt;0,_xlfn.LOGNORM.DIST((CC$8-$B34+1),$BD$2,$BD$3,TRUE)-_xlfn.LOGNORM.DIST((CC$8-$B34),$BD$2,$BD$3,TRUE),_xlfn.LOGNORM.DIST((CC$8-$B34+1),$BD$2,$BD$3,TRUE))*$AW34</f>
        <v>4.9741088422657525</v>
      </c>
      <c r="CD34">
        <f t="shared" si="85"/>
        <v>20.97009409308788</v>
      </c>
      <c r="CE34">
        <f t="shared" si="85"/>
        <v>29.343623931666897</v>
      </c>
      <c r="CF34">
        <f t="shared" si="85"/>
        <v>31.221702499651556</v>
      </c>
      <c r="CG34">
        <f t="shared" si="85"/>
        <v>30.110729359940557</v>
      </c>
      <c r="CH34">
        <f t="shared" si="85"/>
        <v>27.81450510025763</v>
      </c>
      <c r="CI34">
        <f t="shared" si="85"/>
        <v>25.167160371212177</v>
      </c>
      <c r="CJ34">
        <f t="shared" si="85"/>
        <v>22.542047165423309</v>
      </c>
      <c r="CK34">
        <f t="shared" si="85"/>
        <v>20.096562998755704</v>
      </c>
      <c r="CL34">
        <f t="shared" si="85"/>
        <v>17.886532264731564</v>
      </c>
      <c r="CM34">
        <f t="shared" si="85"/>
        <v>15.92041964970935</v>
      </c>
      <c r="CN34">
        <f t="shared" si="85"/>
        <v>14.185483026047526</v>
      </c>
      <c r="CO34">
        <f t="shared" si="85"/>
        <v>12.660511542983031</v>
      </c>
      <c r="CP34">
        <f t="shared" si="85"/>
        <v>11.321997558257136</v>
      </c>
      <c r="CQ34">
        <f t="shared" si="85"/>
        <v>10.147038099877767</v>
      </c>
      <c r="CR34">
        <f t="shared" si="85"/>
        <v>9.1145935633171096</v>
      </c>
      <c r="CS34">
        <f t="shared" si="85"/>
        <v>8.2059245873147741</v>
      </c>
      <c r="CT34">
        <f t="shared" si="85"/>
        <v>7.4046272665392037</v>
      </c>
      <c r="CU34">
        <f t="shared" si="85"/>
        <v>6.6964832268467047</v>
      </c>
      <c r="CV34">
        <f t="shared" si="85"/>
        <v>6.0692357843296252</v>
      </c>
      <c r="CW34">
        <f t="shared" si="85"/>
        <v>5.5123482857530393</v>
      </c>
      <c r="CX34">
        <f t="shared" si="85"/>
        <v>5.016771706969676</v>
      </c>
      <c r="CY34">
        <f t="shared" si="85"/>
        <v>4.5747333463560986</v>
      </c>
      <c r="CZ34">
        <f t="shared" si="85"/>
        <v>4.1795505622120128</v>
      </c>
      <c r="DA34">
        <f t="shared" si="85"/>
        <v>3.8254695556750136</v>
      </c>
      <c r="DB34">
        <f t="shared" si="85"/>
        <v>3.5075273616269089</v>
      </c>
      <c r="DC34">
        <f t="shared" si="85"/>
        <v>3.221434486114604</v>
      </c>
      <c r="DD34">
        <f t="shared" si="85"/>
        <v>2.9634754793153584</v>
      </c>
      <c r="DE34">
        <f t="shared" si="85"/>
        <v>2.7304248641374707</v>
      </c>
      <c r="DF34">
        <f t="shared" si="85"/>
        <v>2.5194760938286542</v>
      </c>
      <c r="DG34">
        <f t="shared" si="85"/>
        <v>2.3281815039533473</v>
      </c>
      <c r="DH34">
        <f t="shared" si="85"/>
        <v>2.15440151248522</v>
      </c>
      <c r="DI34">
        <f t="shared" si="85"/>
        <v>1.9962615868202365</v>
      </c>
      <c r="DJ34">
        <f t="shared" si="85"/>
        <v>1.8521157306307623</v>
      </c>
      <c r="DK34">
        <f t="shared" si="85"/>
        <v>1.7205154453977396</v>
      </c>
      <c r="DL34">
        <f t="shared" si="85"/>
        <v>1.6001832929948432</v>
      </c>
      <c r="DM34">
        <f t="shared" si="85"/>
        <v>1.4899903300276613</v>
      </c>
      <c r="DN34">
        <f t="shared" si="85"/>
        <v>1.3889368053286753</v>
      </c>
      <c r="DO34">
        <f t="shared" si="85"/>
        <v>1.2961356125386883</v>
      </c>
      <c r="DP34">
        <f t="shared" si="85"/>
        <v>1.2107980732786223</v>
      </c>
      <c r="DQ34">
        <f t="shared" si="85"/>
        <v>1.1322216957933322</v>
      </c>
      <c r="DR34">
        <f t="shared" si="85"/>
        <v>1.0597796115498976</v>
      </c>
      <c r="DS34">
        <f t="shared" si="85"/>
        <v>0.99291144010290722</v>
      </c>
      <c r="DT34">
        <f t="shared" si="85"/>
        <v>0.93111537229774222</v>
      </c>
      <c r="DU34">
        <f t="shared" si="85"/>
        <v>0.87394129496393735</v>
      </c>
      <c r="DV34">
        <f t="shared" si="85"/>
        <v>0.82098480782601324</v>
      </c>
      <c r="DW34" s="4">
        <f t="shared" si="85"/>
        <v>0.77188200636866544</v>
      </c>
      <c r="DZ34" s="8">
        <f t="shared" si="30"/>
        <v>1653.0452799928401</v>
      </c>
      <c r="EB34" s="3">
        <f t="shared" si="31"/>
        <v>4769.1424804826393</v>
      </c>
      <c r="EF34" s="3">
        <f t="shared" si="32"/>
        <v>37553.707109774092</v>
      </c>
      <c r="EG34">
        <f t="shared" si="33"/>
        <v>0.92213660245183893</v>
      </c>
      <c r="EH34">
        <f t="shared" si="34"/>
        <v>34629.647883678546</v>
      </c>
      <c r="EI34" s="4">
        <f>SUM($EH$10:EH34)</f>
        <v>853551.53402126557</v>
      </c>
      <c r="EJ34" s="4">
        <f t="shared" si="42"/>
        <v>853.55153402126552</v>
      </c>
      <c r="EN34" s="3">
        <f t="shared" si="35"/>
        <v>468.82113673049349</v>
      </c>
      <c r="EO34">
        <v>5.9940498854246398</v>
      </c>
      <c r="EP34">
        <f t="shared" si="36"/>
        <v>474.81518661591815</v>
      </c>
      <c r="EQ34">
        <f>SUM($EP$10:EP34)</f>
        <v>11648.002752184771</v>
      </c>
      <c r="ER34">
        <f t="shared" si="37"/>
        <v>278387265.77721602</v>
      </c>
      <c r="ES34" s="4">
        <f t="shared" si="38"/>
        <v>165.62650377415468</v>
      </c>
    </row>
    <row r="35" spans="1:149" x14ac:dyDescent="0.25">
      <c r="A35" s="41"/>
      <c r="B35" s="39">
        <v>2015</v>
      </c>
      <c r="C35">
        <v>320766593</v>
      </c>
      <c r="D35" s="40">
        <f t="shared" si="6"/>
        <v>320.766593</v>
      </c>
      <c r="E35" s="11">
        <v>880.07839467840006</v>
      </c>
      <c r="F35" s="5">
        <f t="shared" si="8"/>
        <v>408.35637513077762</v>
      </c>
      <c r="G35" s="15">
        <v>207.62714603520004</v>
      </c>
      <c r="H35">
        <v>664</v>
      </c>
      <c r="I35" s="15">
        <v>71.371831449600009</v>
      </c>
      <c r="J35">
        <v>88200</v>
      </c>
      <c r="K35" s="15">
        <v>0.46400000000000002</v>
      </c>
      <c r="L35" s="14">
        <f t="shared" si="10"/>
        <v>-2856.9088345237301</v>
      </c>
      <c r="N35" s="7">
        <f t="shared" si="11"/>
        <v>757.45731170346232</v>
      </c>
      <c r="O35" s="5">
        <f t="shared" si="12"/>
        <v>672.45124864319996</v>
      </c>
      <c r="P35">
        <v>88200</v>
      </c>
      <c r="Q35" s="5">
        <v>0.46400000000000002</v>
      </c>
      <c r="R35" s="5">
        <f t="shared" si="13"/>
        <v>30998.788990001853</v>
      </c>
      <c r="S35" s="5">
        <f t="shared" si="14"/>
        <v>351.46019263040654</v>
      </c>
      <c r="T35" s="5">
        <f t="shared" si="15"/>
        <v>312.01737937044481</v>
      </c>
      <c r="U35" s="6">
        <f t="shared" si="16"/>
        <v>28048.527453944542</v>
      </c>
      <c r="W35" s="9">
        <f t="shared" si="17"/>
        <v>28048.527453944542</v>
      </c>
      <c r="AA35" s="18">
        <v>3.4899328859060406E-2</v>
      </c>
      <c r="AB35">
        <v>0.36</v>
      </c>
      <c r="AC35" s="6">
        <f t="shared" si="39"/>
        <v>464.6255002864529</v>
      </c>
      <c r="AD35" s="5"/>
      <c r="AE35" s="5"/>
      <c r="AF35" s="5"/>
      <c r="AG35" s="5"/>
      <c r="AH35" s="20">
        <v>5.4625036475051063E-2</v>
      </c>
      <c r="AJ35" s="3">
        <v>1.7999999999999999E-2</v>
      </c>
      <c r="AK35">
        <f t="shared" si="18"/>
        <v>5.616312828668006</v>
      </c>
      <c r="AL35" s="6">
        <f t="shared" si="19"/>
        <v>557.97820182003329</v>
      </c>
      <c r="AO35" s="5">
        <f t="shared" si="1"/>
        <v>-89.146102727647758</v>
      </c>
      <c r="AP35" s="5">
        <f t="shared" si="20"/>
        <v>6017.8815967549453</v>
      </c>
      <c r="AQ35" s="5">
        <f t="shared" si="21"/>
        <v>-8036.9725775600509</v>
      </c>
      <c r="AR35" s="6">
        <f t="shared" si="22"/>
        <v>434796.5200130578</v>
      </c>
      <c r="AS35" s="5"/>
      <c r="AT35" s="5"/>
      <c r="AV35" s="3">
        <f t="shared" si="49"/>
        <v>36074.956702947078</v>
      </c>
      <c r="AW35" s="5">
        <f t="shared" si="2"/>
        <v>408.35637513077762</v>
      </c>
      <c r="AX35" s="5">
        <v>497.50247785842538</v>
      </c>
      <c r="AZ35">
        <f t="shared" si="24"/>
        <v>0</v>
      </c>
      <c r="BA35" s="5">
        <f t="shared" si="25"/>
        <v>10.543328557514664</v>
      </c>
      <c r="BB35" s="5">
        <f t="shared" si="26"/>
        <v>10.543328557514664</v>
      </c>
      <c r="CD35">
        <f t="shared" ref="CD35:DW35" si="86">IF((CD$8-$B35)&gt;0,_xlfn.LOGNORM.DIST((CD$8-$B35+1),$BD$2,$BD$3,TRUE)-_xlfn.LOGNORM.DIST((CD$8-$B35),$BD$2,$BD$3,TRUE),_xlfn.LOGNORM.DIST((CD$8-$B35+1),$BD$2,$BD$3,TRUE))*$AW35</f>
        <v>4.9667468442772806</v>
      </c>
      <c r="CE35">
        <f t="shared" si="86"/>
        <v>20.939057017819326</v>
      </c>
      <c r="CF35">
        <f t="shared" si="86"/>
        <v>29.300193498757228</v>
      </c>
      <c r="CG35">
        <f t="shared" si="86"/>
        <v>31.175492390808341</v>
      </c>
      <c r="CH35">
        <f t="shared" si="86"/>
        <v>30.066163562124533</v>
      </c>
      <c r="CI35">
        <f t="shared" si="86"/>
        <v>27.773337860639053</v>
      </c>
      <c r="CJ35">
        <f t="shared" si="86"/>
        <v>25.129911370455691</v>
      </c>
      <c r="CK35">
        <f t="shared" si="86"/>
        <v>22.508683499458112</v>
      </c>
      <c r="CL35">
        <f t="shared" si="86"/>
        <v>20.066818805159684</v>
      </c>
      <c r="CM35">
        <f t="shared" si="86"/>
        <v>17.860059057423598</v>
      </c>
      <c r="CN35">
        <f t="shared" si="86"/>
        <v>15.896856414333222</v>
      </c>
      <c r="CO35">
        <f t="shared" si="86"/>
        <v>14.164487607407734</v>
      </c>
      <c r="CP35">
        <f t="shared" si="86"/>
        <v>12.64177317929455</v>
      </c>
      <c r="CQ35">
        <f t="shared" si="86"/>
        <v>11.305240280543163</v>
      </c>
      <c r="CR35">
        <f t="shared" si="86"/>
        <v>10.132019837019204</v>
      </c>
      <c r="CS35">
        <f t="shared" si="86"/>
        <v>9.1011033841499973</v>
      </c>
      <c r="CT35">
        <f t="shared" si="86"/>
        <v>8.1937792961237115</v>
      </c>
      <c r="CU35">
        <f t="shared" si="86"/>
        <v>7.3936679464337729</v>
      </c>
      <c r="CV35">
        <f t="shared" si="86"/>
        <v>6.6865720050360817</v>
      </c>
      <c r="CW35">
        <f t="shared" si="86"/>
        <v>6.0602529286960429</v>
      </c>
      <c r="CX35">
        <f t="shared" si="86"/>
        <v>5.5041896590968156</v>
      </c>
      <c r="CY35">
        <f t="shared" si="86"/>
        <v>5.0093465652233791</v>
      </c>
      <c r="CZ35">
        <f t="shared" si="86"/>
        <v>4.5679624495459015</v>
      </c>
      <c r="DA35">
        <f t="shared" si="86"/>
        <v>4.1733645610995591</v>
      </c>
      <c r="DB35">
        <f t="shared" si="86"/>
        <v>3.8198076170108384</v>
      </c>
      <c r="DC35">
        <f t="shared" si="86"/>
        <v>3.5023359976661146</v>
      </c>
      <c r="DD35">
        <f t="shared" si="86"/>
        <v>3.216666557836628</v>
      </c>
      <c r="DE35">
        <f t="shared" si="86"/>
        <v>2.9590893468020885</v>
      </c>
      <c r="DF35">
        <f t="shared" si="86"/>
        <v>2.726383661382386</v>
      </c>
      <c r="DG35">
        <f t="shared" si="86"/>
        <v>2.5157471086932346</v>
      </c>
      <c r="DH35">
        <f t="shared" si="86"/>
        <v>2.3247356469983771</v>
      </c>
      <c r="DI35">
        <f t="shared" si="86"/>
        <v>2.1512128609891961</v>
      </c>
      <c r="DJ35">
        <f t="shared" si="86"/>
        <v>1.9933069924893372</v>
      </c>
      <c r="DK35">
        <f t="shared" si="86"/>
        <v>1.8493744813505977</v>
      </c>
      <c r="DL35">
        <f t="shared" si="86"/>
        <v>1.7179689729240124</v>
      </c>
      <c r="DM35">
        <f t="shared" si="86"/>
        <v>1.5978149197730687</v>
      </c>
      <c r="DN35">
        <f t="shared" si="86"/>
        <v>1.4877850494115039</v>
      </c>
      <c r="DO35">
        <f t="shared" si="86"/>
        <v>1.3868810903672215</v>
      </c>
      <c r="DP35">
        <f t="shared" si="86"/>
        <v>1.2942172492549548</v>
      </c>
      <c r="DQ35">
        <f t="shared" si="86"/>
        <v>1.2090060149898731</v>
      </c>
      <c r="DR35">
        <f t="shared" si="86"/>
        <v>1.130545935549385</v>
      </c>
      <c r="DS35">
        <f t="shared" si="86"/>
        <v>1.0582110702059371</v>
      </c>
      <c r="DT35">
        <f t="shared" si="86"/>
        <v>0.9914418679128788</v>
      </c>
      <c r="DU35">
        <f t="shared" si="86"/>
        <v>0.92973726222511077</v>
      </c>
      <c r="DV35">
        <f t="shared" si="86"/>
        <v>0.87264780616833715</v>
      </c>
      <c r="DW35" s="4">
        <f t="shared" si="86"/>
        <v>0.81976969800525024</v>
      </c>
      <c r="DZ35" s="8">
        <f t="shared" si="30"/>
        <v>1970.5958257343721</v>
      </c>
      <c r="EB35" s="3">
        <f t="shared" si="31"/>
        <v>4649.8183485002774</v>
      </c>
      <c r="EF35" s="3">
        <f t="shared" si="32"/>
        <v>36632.934904767113</v>
      </c>
      <c r="EG35">
        <f t="shared" si="33"/>
        <v>0.91047563466588854</v>
      </c>
      <c r="EH35">
        <f t="shared" si="34"/>
        <v>33353.394657092016</v>
      </c>
      <c r="EI35" s="4">
        <f>SUM($EH$10:EH35)</f>
        <v>886904.92867835762</v>
      </c>
      <c r="EJ35" s="4">
        <f t="shared" si="42"/>
        <v>886.90492867835758</v>
      </c>
      <c r="EN35" s="3">
        <f t="shared" si="35"/>
        <v>452.96388427600203</v>
      </c>
      <c r="EO35">
        <v>5.9203168303103988</v>
      </c>
      <c r="EP35">
        <f t="shared" si="36"/>
        <v>458.88420110631245</v>
      </c>
      <c r="EQ35">
        <f>SUM($EP$10:EP35)</f>
        <v>12106.886953291083</v>
      </c>
      <c r="ER35">
        <f t="shared" si="37"/>
        <v>289354598.18365687</v>
      </c>
      <c r="ES35" s="4">
        <f t="shared" si="38"/>
        <v>172.15151818936667</v>
      </c>
    </row>
    <row r="36" spans="1:149" x14ac:dyDescent="0.25">
      <c r="A36" s="41"/>
      <c r="B36" s="39">
        <v>2016</v>
      </c>
      <c r="C36">
        <v>323103153</v>
      </c>
      <c r="D36" s="40">
        <f t="shared" si="6"/>
        <v>323.10315300000002</v>
      </c>
      <c r="E36" s="11">
        <v>882.51198981120001</v>
      </c>
      <c r="F36" s="5">
        <f t="shared" si="8"/>
        <v>405.95551531315203</v>
      </c>
      <c r="G36" s="15">
        <v>224.91640177919999</v>
      </c>
      <c r="H36">
        <v>664</v>
      </c>
      <c r="I36" s="15">
        <v>69.829640985600008</v>
      </c>
      <c r="J36">
        <v>88200</v>
      </c>
      <c r="K36" s="13">
        <v>0.46</v>
      </c>
      <c r="L36" s="14">
        <f t="shared" si="10"/>
        <v>-2764.4297283083247</v>
      </c>
      <c r="N36" s="7">
        <f t="shared" si="11"/>
        <v>740.75888901995927</v>
      </c>
      <c r="O36" s="5">
        <f t="shared" si="12"/>
        <v>657.59558803200002</v>
      </c>
      <c r="P36">
        <v>88200</v>
      </c>
      <c r="Q36" s="5">
        <v>0.46400000000000002</v>
      </c>
      <c r="R36" s="5">
        <f t="shared" si="13"/>
        <v>30315.409381364032</v>
      </c>
      <c r="S36" s="5">
        <f t="shared" si="14"/>
        <v>343.7121245052611</v>
      </c>
      <c r="T36" s="5">
        <f t="shared" si="15"/>
        <v>305.12435284684801</v>
      </c>
      <c r="U36" s="6">
        <f t="shared" si="16"/>
        <v>27562.124427396517</v>
      </c>
      <c r="W36" s="9">
        <f t="shared" si="17"/>
        <v>27562.124427396517</v>
      </c>
      <c r="AA36" s="18">
        <v>4.2875399361022373E-2</v>
      </c>
      <c r="AB36">
        <v>0.36</v>
      </c>
      <c r="AC36" s="6">
        <f t="shared" si="39"/>
        <v>556.82214320536082</v>
      </c>
      <c r="AD36" s="5"/>
      <c r="AE36" s="5"/>
      <c r="AF36" s="5"/>
      <c r="AG36" s="5"/>
      <c r="AH36" s="20">
        <v>3.767838125665602E-2</v>
      </c>
      <c r="AJ36" s="3">
        <v>1.7999999999999999E-2</v>
      </c>
      <c r="AK36">
        <f t="shared" si="18"/>
        <v>5.4922383512432642</v>
      </c>
      <c r="AL36" s="6">
        <f t="shared" si="19"/>
        <v>545.67736886455259</v>
      </c>
      <c r="AO36" s="5">
        <f t="shared" si="1"/>
        <v>-81.506923667209378</v>
      </c>
      <c r="AP36" s="5">
        <f t="shared" si="20"/>
        <v>5936.3746730877356</v>
      </c>
      <c r="AQ36" s="5">
        <f t="shared" si="21"/>
        <v>-7667.8078744753911</v>
      </c>
      <c r="AR36" s="6">
        <f t="shared" si="22"/>
        <v>427128.71213858243</v>
      </c>
      <c r="AS36" s="5"/>
      <c r="AT36" s="5"/>
      <c r="AV36" s="3">
        <f t="shared" si="49"/>
        <v>35219.531773444658</v>
      </c>
      <c r="AW36" s="5">
        <f t="shared" si="2"/>
        <v>409.4855632723968</v>
      </c>
      <c r="AX36" s="5">
        <v>487.46243898036141</v>
      </c>
      <c r="AZ36">
        <f t="shared" si="24"/>
        <v>0</v>
      </c>
      <c r="BA36" s="5">
        <f t="shared" si="25"/>
        <v>10.400528427249712</v>
      </c>
      <c r="BB36" s="5">
        <f t="shared" si="26"/>
        <v>10.400528427249712</v>
      </c>
      <c r="CE36">
        <f t="shared" ref="CE36:DW36" si="87">IF((CE$8-$B36)&gt;0,_xlfn.LOGNORM.DIST((CE$8-$B36+1),$BD$2,$BD$3,TRUE)-_xlfn.LOGNORM.DIST((CE$8-$B36),$BD$2,$BD$3,TRUE),_xlfn.LOGNORM.DIST((CE$8-$B36+1),$BD$2,$BD$3,TRUE))*$AW36</f>
        <v>4.9804809059462976</v>
      </c>
      <c r="CF36">
        <f t="shared" si="87"/>
        <v>20.996957754335654</v>
      </c>
      <c r="CG36">
        <f t="shared" si="87"/>
        <v>29.381214472252129</v>
      </c>
      <c r="CH36">
        <f t="shared" si="87"/>
        <v>31.261698945819429</v>
      </c>
      <c r="CI36">
        <f t="shared" si="87"/>
        <v>30.14930259808904</v>
      </c>
      <c r="CJ36">
        <f t="shared" si="87"/>
        <v>27.850136768836268</v>
      </c>
      <c r="CK36">
        <f t="shared" si="87"/>
        <v>25.199400668646202</v>
      </c>
      <c r="CL36">
        <f t="shared" si="87"/>
        <v>22.570924571323118</v>
      </c>
      <c r="CM36">
        <f t="shared" si="87"/>
        <v>20.122307626235514</v>
      </c>
      <c r="CN36">
        <f t="shared" si="87"/>
        <v>17.909445740537834</v>
      </c>
      <c r="CO36">
        <f t="shared" si="87"/>
        <v>15.940814444243589</v>
      </c>
      <c r="CP36">
        <f t="shared" si="87"/>
        <v>14.203655286455906</v>
      </c>
      <c r="CQ36">
        <f t="shared" si="87"/>
        <v>12.676730244330027</v>
      </c>
      <c r="CR36">
        <f t="shared" si="87"/>
        <v>11.336501561229321</v>
      </c>
      <c r="CS36">
        <f t="shared" si="87"/>
        <v>10.160036925394397</v>
      </c>
      <c r="CT36">
        <f t="shared" si="87"/>
        <v>9.1262697795901104</v>
      </c>
      <c r="CU36">
        <f t="shared" si="87"/>
        <v>8.2164367565668464</v>
      </c>
      <c r="CV36">
        <f t="shared" si="87"/>
        <v>7.4141129368309695</v>
      </c>
      <c r="CW36">
        <f t="shared" si="87"/>
        <v>6.7050617318433376</v>
      </c>
      <c r="CX36">
        <f t="shared" si="87"/>
        <v>6.0770107563168434</v>
      </c>
      <c r="CY36">
        <f t="shared" si="87"/>
        <v>5.5194098590760232</v>
      </c>
      <c r="CZ36">
        <f t="shared" si="87"/>
        <v>5.0231984237547893</v>
      </c>
      <c r="DA36">
        <f t="shared" si="87"/>
        <v>4.5805937915391226</v>
      </c>
      <c r="DB36">
        <f t="shared" si="87"/>
        <v>4.1849047599553701</v>
      </c>
      <c r="DC36">
        <f t="shared" si="87"/>
        <v>3.8303701592584378</v>
      </c>
      <c r="DD36">
        <f t="shared" si="87"/>
        <v>3.5120206665420786</v>
      </c>
      <c r="DE36">
        <f t="shared" si="87"/>
        <v>3.2255612928128823</v>
      </c>
      <c r="DF36">
        <f t="shared" si="87"/>
        <v>2.9672718285848951</v>
      </c>
      <c r="DG36">
        <f t="shared" si="87"/>
        <v>2.7339226647809527</v>
      </c>
      <c r="DH36">
        <f t="shared" si="87"/>
        <v>2.5227036593324632</v>
      </c>
      <c r="DI36">
        <f t="shared" si="87"/>
        <v>2.3311640122324184</v>
      </c>
      <c r="DJ36">
        <f t="shared" si="87"/>
        <v>2.157161400550871</v>
      </c>
      <c r="DK36">
        <f t="shared" si="87"/>
        <v>1.9988188903207467</v>
      </c>
      <c r="DL36">
        <f t="shared" si="87"/>
        <v>1.8544883766169211</v>
      </c>
      <c r="DM36">
        <f t="shared" si="87"/>
        <v>1.7227195053266819</v>
      </c>
      <c r="DN36">
        <f t="shared" si="87"/>
        <v>1.6022332018663312</v>
      </c>
      <c r="DO36">
        <f t="shared" si="87"/>
        <v>1.4918990766127096</v>
      </c>
      <c r="DP36">
        <f t="shared" si="87"/>
        <v>1.3907160976707735</v>
      </c>
      <c r="DQ36">
        <f t="shared" si="87"/>
        <v>1.2977960222570164</v>
      </c>
      <c r="DR36">
        <f t="shared" si="87"/>
        <v>1.2123491616588473</v>
      </c>
      <c r="DS36">
        <f t="shared" si="87"/>
        <v>1.1336721241966647</v>
      </c>
      <c r="DT36">
        <f t="shared" si="87"/>
        <v>1.0611372382899396</v>
      </c>
      <c r="DU36">
        <f t="shared" si="87"/>
        <v>0.99418340561996976</v>
      </c>
      <c r="DV36">
        <f t="shared" si="87"/>
        <v>0.93230817419138012</v>
      </c>
      <c r="DW36" s="4">
        <f t="shared" si="87"/>
        <v>0.87506085421789848</v>
      </c>
      <c r="DZ36" s="8">
        <f t="shared" si="30"/>
        <v>1327.0149458407584</v>
      </c>
      <c r="EB36" s="3">
        <f t="shared" si="31"/>
        <v>4547.3114072046046</v>
      </c>
      <c r="EF36" s="3">
        <f t="shared" si="32"/>
        <v>35765.209142309213</v>
      </c>
      <c r="EG36">
        <f t="shared" si="33"/>
        <v>0.91944621938232163</v>
      </c>
      <c r="EH36">
        <f t="shared" si="34"/>
        <v>32884.186331314253</v>
      </c>
      <c r="EI36" s="4">
        <f>SUM($EH$10:EH36)</f>
        <v>919789.11500967189</v>
      </c>
      <c r="EJ36" s="4">
        <f t="shared" si="42"/>
        <v>919.78911500967195</v>
      </c>
      <c r="EN36" s="3">
        <f t="shared" si="35"/>
        <v>448.19549661137893</v>
      </c>
      <c r="EO36">
        <v>6.3210287772720006</v>
      </c>
      <c r="EP36">
        <f t="shared" si="36"/>
        <v>454.5165253886509</v>
      </c>
      <c r="EQ36">
        <f>SUM($EP$10:EP36)</f>
        <v>12561.403478679735</v>
      </c>
      <c r="ER36">
        <f t="shared" si="37"/>
        <v>300217543.14044565</v>
      </c>
      <c r="ES36" s="4">
        <f t="shared" si="38"/>
        <v>178.61442729140813</v>
      </c>
    </row>
    <row r="37" spans="1:149" x14ac:dyDescent="0.25">
      <c r="A37" s="41"/>
      <c r="B37" s="39">
        <v>2017</v>
      </c>
      <c r="C37">
        <v>325157550</v>
      </c>
      <c r="D37" s="40">
        <f t="shared" si="6"/>
        <v>325.15755000000001</v>
      </c>
      <c r="E37" s="11">
        <v>916.74118586880002</v>
      </c>
      <c r="F37" s="5">
        <f t="shared" si="8"/>
        <v>421.70094549964801</v>
      </c>
      <c r="G37" s="15">
        <v>252.28749542399999</v>
      </c>
      <c r="H37">
        <v>664</v>
      </c>
      <c r="I37" s="15">
        <v>74.058587366400019</v>
      </c>
      <c r="J37">
        <v>88200</v>
      </c>
      <c r="K37" s="13">
        <v>0.46</v>
      </c>
      <c r="L37" s="14">
        <f t="shared" si="10"/>
        <v>-2927.6463140272749</v>
      </c>
      <c r="N37" s="7">
        <f t="shared" si="11"/>
        <v>752.0491627405296</v>
      </c>
      <c r="O37" s="5">
        <f t="shared" si="12"/>
        <v>664.45369044480003</v>
      </c>
      <c r="P37">
        <v>88200</v>
      </c>
      <c r="Q37" s="5">
        <v>0.46400000000000002</v>
      </c>
      <c r="R37" s="5">
        <f t="shared" si="13"/>
        <v>30777.461575323625</v>
      </c>
      <c r="S37" s="5">
        <f t="shared" si="14"/>
        <v>348.95081151160576</v>
      </c>
      <c r="T37" s="5">
        <f t="shared" si="15"/>
        <v>308.30651236638721</v>
      </c>
      <c r="U37" s="6">
        <f t="shared" si="16"/>
        <v>27977.502251636128</v>
      </c>
      <c r="W37" s="9">
        <f t="shared" si="17"/>
        <v>27977.502251636128</v>
      </c>
      <c r="AA37" s="18">
        <v>5.3764461584099678E-2</v>
      </c>
      <c r="AB37">
        <v>0.36</v>
      </c>
      <c r="AC37" s="6">
        <f t="shared" si="39"/>
        <v>681.68129869560357</v>
      </c>
      <c r="AD37" s="5"/>
      <c r="AE37" s="5"/>
      <c r="AF37" s="5"/>
      <c r="AG37" s="5"/>
      <c r="AH37" s="20">
        <v>2.805102343518244E-2</v>
      </c>
      <c r="AJ37" s="3">
        <v>1.7999999999999999E-2</v>
      </c>
      <c r="AK37">
        <f t="shared" si="18"/>
        <v>5.5495172225949689</v>
      </c>
      <c r="AL37" s="6">
        <f t="shared" si="19"/>
        <v>553.99430835582518</v>
      </c>
      <c r="AO37" s="5">
        <f t="shared" si="1"/>
        <v>-56.97223312792795</v>
      </c>
      <c r="AP37" s="5">
        <f t="shared" si="20"/>
        <v>5879.4024399598075</v>
      </c>
      <c r="AQ37" s="5">
        <f t="shared" si="21"/>
        <v>-6473.8621714779374</v>
      </c>
      <c r="AR37" s="6">
        <f t="shared" si="22"/>
        <v>420654.8499671045</v>
      </c>
      <c r="AS37" s="5"/>
      <c r="AT37" s="5"/>
      <c r="AV37" s="3">
        <f t="shared" si="49"/>
        <v>34441.063710039256</v>
      </c>
      <c r="AW37" s="5">
        <f t="shared" si="2"/>
        <v>425.36791024312322</v>
      </c>
      <c r="AX37" s="5">
        <v>478.67317862757596</v>
      </c>
      <c r="AZ37">
        <f t="shared" si="24"/>
        <v>0</v>
      </c>
      <c r="BA37" s="5">
        <f t="shared" si="25"/>
        <v>10.300713074809583</v>
      </c>
      <c r="BB37" s="5">
        <f t="shared" si="26"/>
        <v>10.300713074809583</v>
      </c>
      <c r="CF37">
        <f t="shared" ref="CF37:DW37" si="88">IF((CF$8-$B37)&gt;0,_xlfn.LOGNORM.DIST((CF$8-$B37+1),$BD$2,$BD$3,TRUE)-_xlfn.LOGNORM.DIST((CF$8-$B37),$BD$2,$BD$3,TRUE),_xlfn.LOGNORM.DIST((CF$8-$B37+1),$BD$2,$BD$3,TRUE))*$AW37</f>
        <v>5.1736543238250059</v>
      </c>
      <c r="CG37">
        <f t="shared" si="88"/>
        <v>21.811347804424443</v>
      </c>
      <c r="CH37">
        <f t="shared" si="88"/>
        <v>30.520797120637752</v>
      </c>
      <c r="CI37">
        <f t="shared" si="88"/>
        <v>32.474218248292637</v>
      </c>
      <c r="CJ37">
        <f t="shared" si="88"/>
        <v>31.318676387390962</v>
      </c>
      <c r="CK37">
        <f t="shared" si="88"/>
        <v>28.930334888179004</v>
      </c>
      <c r="CL37">
        <f t="shared" si="88"/>
        <v>26.176787079232689</v>
      </c>
      <c r="CM37">
        <f t="shared" si="88"/>
        <v>23.446362651794299</v>
      </c>
      <c r="CN37">
        <f t="shared" si="88"/>
        <v>20.902773411201348</v>
      </c>
      <c r="CO37">
        <f t="shared" si="88"/>
        <v>18.604083248711479</v>
      </c>
      <c r="CP37">
        <f t="shared" si="88"/>
        <v>16.559096427071459</v>
      </c>
      <c r="CQ37">
        <f t="shared" si="88"/>
        <v>14.754559644864313</v>
      </c>
      <c r="CR37">
        <f t="shared" si="88"/>
        <v>13.16841113922111</v>
      </c>
      <c r="CS37">
        <f t="shared" si="88"/>
        <v>11.776200215782017</v>
      </c>
      <c r="CT37">
        <f t="shared" si="88"/>
        <v>10.554105107908473</v>
      </c>
      <c r="CU37">
        <f t="shared" si="88"/>
        <v>9.4802421688229987</v>
      </c>
      <c r="CV37">
        <f t="shared" si="88"/>
        <v>8.5351202734849174</v>
      </c>
      <c r="CW37">
        <f t="shared" si="88"/>
        <v>7.7016774438721356</v>
      </c>
      <c r="CX37">
        <f t="shared" si="88"/>
        <v>6.9651249097347527</v>
      </c>
      <c r="CY37">
        <f t="shared" si="88"/>
        <v>6.3127142878536953</v>
      </c>
      <c r="CZ37">
        <f t="shared" si="88"/>
        <v>5.733486227861655</v>
      </c>
      <c r="DA37">
        <f t="shared" si="88"/>
        <v>5.2180286874430077</v>
      </c>
      <c r="DB37">
        <f t="shared" si="88"/>
        <v>4.7582571488203778</v>
      </c>
      <c r="DC37">
        <f t="shared" si="88"/>
        <v>4.3472208838887587</v>
      </c>
      <c r="DD37">
        <f t="shared" si="88"/>
        <v>3.9789352696117675</v>
      </c>
      <c r="DE37">
        <f t="shared" si="88"/>
        <v>3.6482382424405428</v>
      </c>
      <c r="DF37">
        <f t="shared" si="88"/>
        <v>3.3506682275199315</v>
      </c>
      <c r="DG37">
        <f t="shared" si="88"/>
        <v>3.0823607229562389</v>
      </c>
      <c r="DH37">
        <f t="shared" si="88"/>
        <v>2.8399608557398355</v>
      </c>
      <c r="DI37">
        <f t="shared" si="88"/>
        <v>2.6205494893579444</v>
      </c>
      <c r="DJ37">
        <f t="shared" si="88"/>
        <v>2.4215807668356004</v>
      </c>
      <c r="DK37">
        <f t="shared" si="88"/>
        <v>2.2408292728968768</v>
      </c>
      <c r="DL37">
        <f t="shared" si="88"/>
        <v>2.0763452746309023</v>
      </c>
      <c r="DM37">
        <f t="shared" si="88"/>
        <v>1.9264167435542825</v>
      </c>
      <c r="DN37">
        <f t="shared" si="88"/>
        <v>1.7895370719783192</v>
      </c>
      <c r="DO37">
        <f t="shared" si="88"/>
        <v>1.6643775750078358</v>
      </c>
      <c r="DP37">
        <f t="shared" si="88"/>
        <v>1.5497640196175675</v>
      </c>
      <c r="DQ37">
        <f t="shared" si="88"/>
        <v>1.4446565477918165</v>
      </c>
      <c r="DR37">
        <f t="shared" si="88"/>
        <v>1.3481324652758953</v>
      </c>
      <c r="DS37">
        <f t="shared" si="88"/>
        <v>1.2593714544138337</v>
      </c>
      <c r="DT37">
        <f t="shared" si="88"/>
        <v>1.1776428417077833</v>
      </c>
      <c r="DU37">
        <f t="shared" si="88"/>
        <v>1.1022946106461124</v>
      </c>
      <c r="DV37">
        <f t="shared" si="88"/>
        <v>1.0327439000960377</v>
      </c>
      <c r="DW37" s="4">
        <f t="shared" si="88"/>
        <v>0.96846876991011588</v>
      </c>
      <c r="DZ37" s="8">
        <f t="shared" si="30"/>
        <v>966.10708526292262</v>
      </c>
      <c r="EB37" s="3">
        <f t="shared" si="31"/>
        <v>4616.6192362985439</v>
      </c>
      <c r="EF37" s="3">
        <f t="shared" si="32"/>
        <v>34995.058018395081</v>
      </c>
      <c r="EG37">
        <f t="shared" si="33"/>
        <v>0.91818451498071796</v>
      </c>
      <c r="EH37">
        <f t="shared" si="34"/>
        <v>32131.920373342171</v>
      </c>
      <c r="EI37" s="4">
        <f>SUM($EH$10:EH37)</f>
        <v>951921.03538301401</v>
      </c>
      <c r="EJ37" s="4">
        <f t="shared" si="42"/>
        <v>951.92103538301399</v>
      </c>
      <c r="EN37" s="3">
        <f t="shared" si="35"/>
        <v>439.5103003524394</v>
      </c>
      <c r="EO37">
        <v>6.3965417385038403</v>
      </c>
      <c r="EP37">
        <f t="shared" si="36"/>
        <v>445.90684209094326</v>
      </c>
      <c r="EQ37">
        <f>SUM($EP$10:EP37)</f>
        <v>13007.310320770677</v>
      </c>
      <c r="ER37">
        <f t="shared" si="37"/>
        <v>310874716.66641915</v>
      </c>
      <c r="ES37" s="4">
        <f t="shared" si="38"/>
        <v>184.95491268068608</v>
      </c>
    </row>
    <row r="38" spans="1:149" x14ac:dyDescent="0.25">
      <c r="A38" s="41"/>
      <c r="B38" s="39">
        <v>2018</v>
      </c>
      <c r="C38">
        <v>326876624</v>
      </c>
      <c r="D38" s="40">
        <f t="shared" si="6"/>
        <v>326.87662399999999</v>
      </c>
      <c r="E38" s="11">
        <v>889.06156122815992</v>
      </c>
      <c r="F38" s="5">
        <f t="shared" si="8"/>
        <v>408.96831816495359</v>
      </c>
      <c r="G38" s="15">
        <v>290.14046745984001</v>
      </c>
      <c r="H38">
        <v>664</v>
      </c>
      <c r="I38" s="15">
        <v>71.397231140735997</v>
      </c>
      <c r="J38">
        <v>88200</v>
      </c>
      <c r="K38" s="13">
        <v>0.46</v>
      </c>
      <c r="L38" s="14">
        <f t="shared" si="10"/>
        <v>-2808.1079574610076</v>
      </c>
      <c r="N38" s="7">
        <f t="shared" si="11"/>
        <v>682.60521884832588</v>
      </c>
      <c r="O38" s="5">
        <f t="shared" si="12"/>
        <v>598.92109376831991</v>
      </c>
      <c r="P38">
        <v>88200</v>
      </c>
      <c r="Q38" s="5">
        <v>0.46400000000000002</v>
      </c>
      <c r="R38" s="5">
        <f t="shared" si="13"/>
        <v>27935.482060323968</v>
      </c>
      <c r="S38" s="5">
        <f t="shared" si="14"/>
        <v>316.72882154562325</v>
      </c>
      <c r="T38" s="5">
        <f t="shared" si="15"/>
        <v>277.89938750850047</v>
      </c>
      <c r="U38" s="6">
        <f t="shared" si="16"/>
        <v>25189.459081078636</v>
      </c>
      <c r="W38" s="9">
        <f t="shared" si="17"/>
        <v>25189.459081078636</v>
      </c>
      <c r="AA38" s="18">
        <v>4.5562831306516997E-2</v>
      </c>
      <c r="AB38">
        <v>0.36</v>
      </c>
      <c r="AC38" s="6">
        <f t="shared" si="39"/>
        <v>564.92365530150823</v>
      </c>
      <c r="AD38" s="5"/>
      <c r="AE38" s="5"/>
      <c r="AF38" s="5"/>
      <c r="AG38" s="5"/>
      <c r="AH38" s="20">
        <v>1.0514499532273153E-2</v>
      </c>
      <c r="AJ38" s="3">
        <v>1.7999999999999999E-2</v>
      </c>
      <c r="AK38">
        <f t="shared" si="18"/>
        <v>5.0021889751530084</v>
      </c>
      <c r="AL38" s="6">
        <f t="shared" si="19"/>
        <v>502.83867708583136</v>
      </c>
      <c r="AO38" s="5">
        <f t="shared" si="1"/>
        <v>-62.420272605354853</v>
      </c>
      <c r="AP38" s="5">
        <f t="shared" si="20"/>
        <v>5816.9821673544529</v>
      </c>
      <c r="AQ38" s="5">
        <f t="shared" si="21"/>
        <v>-8547.2714823614278</v>
      </c>
      <c r="AR38" s="6">
        <f t="shared" si="22"/>
        <v>412107.57848474308</v>
      </c>
      <c r="AS38" s="5"/>
      <c r="AT38" s="5"/>
      <c r="AV38" s="3">
        <f t="shared" si="49"/>
        <v>33726.539210682859</v>
      </c>
      <c r="AW38" s="5">
        <f t="shared" si="2"/>
        <v>412.52456440986623</v>
      </c>
      <c r="AX38" s="5">
        <v>471.38859077030844</v>
      </c>
      <c r="AZ38">
        <f t="shared" si="24"/>
        <v>0</v>
      </c>
      <c r="BA38" s="5">
        <f t="shared" si="25"/>
        <v>10.191352757205001</v>
      </c>
      <c r="BB38" s="5">
        <f t="shared" si="26"/>
        <v>10.191352757205001</v>
      </c>
      <c r="CG38">
        <f t="shared" ref="CG38:DW38" si="89">IF((CG$8-$B38)&gt;0,_xlfn.LOGNORM.DIST((CG$8-$B38+1),$BD$2,$BD$3,TRUE)-_xlfn.LOGNORM.DIST((CG$8-$B38),$BD$2,$BD$3,TRUE),_xlfn.LOGNORM.DIST((CG$8-$B38+1),$BD$2,$BD$3,TRUE))*$AW38</f>
        <v>5.0174435940014241</v>
      </c>
      <c r="CH38">
        <f t="shared" si="89"/>
        <v>21.152786882935178</v>
      </c>
      <c r="CI38">
        <f t="shared" si="89"/>
        <v>29.59926744459101</v>
      </c>
      <c r="CJ38">
        <f t="shared" si="89"/>
        <v>31.493707952184259</v>
      </c>
      <c r="CK38">
        <f t="shared" si="89"/>
        <v>30.373055944012382</v>
      </c>
      <c r="CL38">
        <f t="shared" si="89"/>
        <v>28.056826832932305</v>
      </c>
      <c r="CM38">
        <f t="shared" si="89"/>
        <v>25.386418268689457</v>
      </c>
      <c r="CN38">
        <f t="shared" si="89"/>
        <v>22.738434910143923</v>
      </c>
      <c r="CO38">
        <f t="shared" si="89"/>
        <v>20.271645530302138</v>
      </c>
      <c r="CP38">
        <f t="shared" si="89"/>
        <v>18.042360868343536</v>
      </c>
      <c r="CQ38">
        <f t="shared" si="89"/>
        <v>16.059119355511047</v>
      </c>
      <c r="CR38">
        <f t="shared" si="89"/>
        <v>14.309067853938899</v>
      </c>
      <c r="CS38">
        <f t="shared" si="89"/>
        <v>12.770810722586804</v>
      </c>
      <c r="CT38">
        <f t="shared" si="89"/>
        <v>11.420635519125614</v>
      </c>
      <c r="CU38">
        <f t="shared" si="89"/>
        <v>10.235439739418553</v>
      </c>
      <c r="CV38">
        <f t="shared" si="89"/>
        <v>9.1940004805686399</v>
      </c>
      <c r="CW38">
        <f t="shared" si="89"/>
        <v>8.277415122811572</v>
      </c>
      <c r="CX38">
        <f t="shared" si="89"/>
        <v>7.4691368489520613</v>
      </c>
      <c r="CY38">
        <f t="shared" si="89"/>
        <v>6.7548234134690208</v>
      </c>
      <c r="CZ38">
        <f t="shared" si="89"/>
        <v>6.1221113514471677</v>
      </c>
      <c r="DA38">
        <f t="shared" si="89"/>
        <v>5.5603722136602656</v>
      </c>
      <c r="DB38">
        <f t="shared" si="89"/>
        <v>5.060478140288704</v>
      </c>
      <c r="DC38">
        <f t="shared" si="89"/>
        <v>4.6145887134394901</v>
      </c>
      <c r="DD38">
        <f t="shared" si="89"/>
        <v>4.2159630718139631</v>
      </c>
      <c r="DE38">
        <f t="shared" si="89"/>
        <v>3.8587972890890732</v>
      </c>
      <c r="DF38">
        <f t="shared" si="89"/>
        <v>3.5380851624797232</v>
      </c>
      <c r="DG38">
        <f t="shared" si="89"/>
        <v>3.2494998276894216</v>
      </c>
      <c r="DH38">
        <f t="shared" si="89"/>
        <v>2.9892934656609054</v>
      </c>
      <c r="DI38">
        <f t="shared" si="89"/>
        <v>2.7542124987414627</v>
      </c>
      <c r="DJ38">
        <f t="shared" si="89"/>
        <v>2.5414259293654844</v>
      </c>
      <c r="DK38">
        <f t="shared" si="89"/>
        <v>2.3484647688895941</v>
      </c>
      <c r="DL38">
        <f t="shared" si="89"/>
        <v>2.1731707951131365</v>
      </c>
      <c r="DM38">
        <f t="shared" si="89"/>
        <v>2.0136531443851307</v>
      </c>
      <c r="DN38">
        <f t="shared" si="89"/>
        <v>1.8682514803535322</v>
      </c>
      <c r="DO38">
        <f t="shared" si="89"/>
        <v>1.7355046850883087</v>
      </c>
      <c r="DP38">
        <f t="shared" si="89"/>
        <v>1.6141241913411517</v>
      </c>
      <c r="DQ38">
        <f t="shared" si="89"/>
        <v>1.5029712202911902</v>
      </c>
      <c r="DR38">
        <f t="shared" si="89"/>
        <v>1.4010373108753207</v>
      </c>
      <c r="DS38">
        <f t="shared" si="89"/>
        <v>1.3074276282074775</v>
      </c>
      <c r="DT38">
        <f t="shared" si="89"/>
        <v>1.2213466228925183</v>
      </c>
      <c r="DU38">
        <f t="shared" si="89"/>
        <v>1.1420856830225694</v>
      </c>
      <c r="DV38">
        <f t="shared" si="89"/>
        <v>1.0690124787462902</v>
      </c>
      <c r="DW38" s="4">
        <f t="shared" si="89"/>
        <v>1.0015617475482845</v>
      </c>
      <c r="DZ38" s="8">
        <f t="shared" si="30"/>
        <v>354.61768075591704</v>
      </c>
      <c r="EB38" s="3">
        <f t="shared" si="31"/>
        <v>4190.3223090485953</v>
      </c>
      <c r="EF38" s="3">
        <f t="shared" si="32"/>
        <v>34229.377887768693</v>
      </c>
      <c r="EG38">
        <f t="shared" si="33"/>
        <v>0.94392266916120993</v>
      </c>
      <c r="EH38">
        <f t="shared" si="34"/>
        <v>32309.885739550322</v>
      </c>
      <c r="EI38" s="4">
        <f>SUM($EH$10:EH38)</f>
        <v>984230.92112256435</v>
      </c>
      <c r="EJ38" s="4">
        <f t="shared" si="42"/>
        <v>984.23092112256438</v>
      </c>
      <c r="EN38" s="3">
        <f t="shared" si="35"/>
        <v>444.95437681205084</v>
      </c>
      <c r="EO38">
        <v>5.7228643090871998</v>
      </c>
      <c r="EP38">
        <f t="shared" si="36"/>
        <v>450.67724112113802</v>
      </c>
      <c r="EQ38">
        <f>SUM($EP$10:EP38)</f>
        <v>13457.987561891816</v>
      </c>
      <c r="ER38">
        <f t="shared" si="37"/>
        <v>321645902.72921443</v>
      </c>
      <c r="ES38" s="4">
        <f t="shared" si="38"/>
        <v>191.36322982874617</v>
      </c>
    </row>
    <row r="39" spans="1:149" x14ac:dyDescent="0.25">
      <c r="A39" s="41"/>
      <c r="B39" s="39">
        <v>2019</v>
      </c>
      <c r="C39">
        <v>328371824</v>
      </c>
      <c r="D39" s="40">
        <f t="shared" si="6"/>
        <v>328.371824</v>
      </c>
      <c r="E39" s="11">
        <v>825.05071634687999</v>
      </c>
      <c r="F39" s="5">
        <f t="shared" si="8"/>
        <v>379.52332951956481</v>
      </c>
      <c r="G39" s="15">
        <v>288.06861818419202</v>
      </c>
      <c r="H39">
        <v>664</v>
      </c>
      <c r="I39" s="15">
        <v>62.889189318143998</v>
      </c>
      <c r="J39">
        <v>88200</v>
      </c>
      <c r="K39" s="13">
        <v>0.46</v>
      </c>
      <c r="L39" s="14">
        <f t="shared" si="10"/>
        <v>-2463.5525102775587</v>
      </c>
      <c r="N39" s="7">
        <f t="shared" si="11"/>
        <v>610.86689152834208</v>
      </c>
      <c r="O39" s="5">
        <f t="shared" si="12"/>
        <v>536.98209816268798</v>
      </c>
      <c r="P39">
        <v>88200</v>
      </c>
      <c r="Q39" s="5">
        <v>0.46400000000000002</v>
      </c>
      <c r="R39" s="5">
        <f t="shared" si="13"/>
        <v>24999.605362419094</v>
      </c>
      <c r="S39" s="5">
        <f t="shared" si="14"/>
        <v>283.44223766915076</v>
      </c>
      <c r="T39" s="5">
        <f t="shared" si="15"/>
        <v>249.15969354748722</v>
      </c>
      <c r="U39" s="6">
        <f t="shared" si="16"/>
        <v>22645.155574698176</v>
      </c>
      <c r="W39" s="9">
        <f t="shared" si="17"/>
        <v>22645.155574698176</v>
      </c>
      <c r="AA39" s="18">
        <v>4.6048109965635749E-2</v>
      </c>
      <c r="AB39">
        <v>0.36</v>
      </c>
      <c r="AC39" s="6">
        <f t="shared" si="39"/>
        <v>559.095619080186</v>
      </c>
      <c r="AD39" s="5"/>
      <c r="AE39" s="5"/>
      <c r="AF39" s="5"/>
      <c r="AG39" s="5"/>
      <c r="AH39" s="20">
        <v>3.2891507118311247E-3</v>
      </c>
      <c r="AJ39" s="3">
        <v>1.7999999999999999E-2</v>
      </c>
      <c r="AK39">
        <f t="shared" si="18"/>
        <v>4.4848744838547701</v>
      </c>
      <c r="AL39" s="6">
        <f t="shared" si="19"/>
        <v>449.99289652354361</v>
      </c>
      <c r="AO39" s="5">
        <f t="shared" si="1"/>
        <v>-84.995850254444917</v>
      </c>
      <c r="AP39" s="5">
        <f t="shared" si="20"/>
        <v>5731.9863171000079</v>
      </c>
      <c r="AQ39" s="5">
        <f t="shared" si="21"/>
        <v>-10274.025801790813</v>
      </c>
      <c r="AR39" s="6">
        <f t="shared" si="22"/>
        <v>401833.55268295226</v>
      </c>
      <c r="AS39" s="5"/>
      <c r="AT39" s="5"/>
      <c r="AV39" s="3">
        <f t="shared" si="49"/>
        <v>32909.13893646143</v>
      </c>
      <c r="AW39" s="5">
        <f t="shared" si="2"/>
        <v>382.82353238495233</v>
      </c>
      <c r="AX39" s="5">
        <v>464.51917977400973</v>
      </c>
      <c r="AZ39">
        <f t="shared" si="24"/>
        <v>0</v>
      </c>
      <c r="BA39" s="5">
        <f t="shared" si="25"/>
        <v>10.042440027559214</v>
      </c>
      <c r="BB39" s="5">
        <f t="shared" si="26"/>
        <v>10.042440027559214</v>
      </c>
      <c r="CH39">
        <f t="shared" ref="CH39:DW39" si="90">IF((CH$8-$B39)&gt;0,_xlfn.LOGNORM.DIST((CH$8-$B39+1),$BD$2,$BD$3,TRUE)-_xlfn.LOGNORM.DIST((CH$8-$B39),$BD$2,$BD$3,TRUE),_xlfn.LOGNORM.DIST((CH$8-$B39+1),$BD$2,$BD$3,TRUE))*$AW39</f>
        <v>4.6561966144868361</v>
      </c>
      <c r="CI39">
        <f t="shared" si="90"/>
        <v>19.629823998227966</v>
      </c>
      <c r="CJ39">
        <f t="shared" si="90"/>
        <v>27.468173041659103</v>
      </c>
      <c r="CK39">
        <f t="shared" si="90"/>
        <v>29.226217215458718</v>
      </c>
      <c r="CL39">
        <f t="shared" si="90"/>
        <v>28.186250150815262</v>
      </c>
      <c r="CM39">
        <f t="shared" si="90"/>
        <v>26.036785399825209</v>
      </c>
      <c r="CN39">
        <f t="shared" si="90"/>
        <v>23.558641483869774</v>
      </c>
      <c r="CO39">
        <f t="shared" si="90"/>
        <v>21.101308198844372</v>
      </c>
      <c r="CP39">
        <f t="shared" si="90"/>
        <v>18.812123249599846</v>
      </c>
      <c r="CQ39">
        <f t="shared" si="90"/>
        <v>16.743343102644374</v>
      </c>
      <c r="CR39">
        <f t="shared" si="90"/>
        <v>14.902891437417786</v>
      </c>
      <c r="CS39">
        <f t="shared" si="90"/>
        <v>13.278840519029819</v>
      </c>
      <c r="CT39">
        <f t="shared" si="90"/>
        <v>11.851335154390572</v>
      </c>
      <c r="CU39">
        <f t="shared" si="90"/>
        <v>10.598370154677159</v>
      </c>
      <c r="CV39">
        <f t="shared" si="90"/>
        <v>9.4985063547983266</v>
      </c>
      <c r="CW39">
        <f t="shared" si="90"/>
        <v>8.5320488629696172</v>
      </c>
      <c r="CX39">
        <f t="shared" si="90"/>
        <v>7.6814560142968373</v>
      </c>
      <c r="CY39">
        <f t="shared" si="90"/>
        <v>6.9313723328764123</v>
      </c>
      <c r="CZ39">
        <f t="shared" si="90"/>
        <v>6.2684881892549562</v>
      </c>
      <c r="DA39">
        <f t="shared" si="90"/>
        <v>5.6813302659146219</v>
      </c>
      <c r="DB39">
        <f t="shared" si="90"/>
        <v>5.1600353429950792</v>
      </c>
      <c r="DC39">
        <f t="shared" si="90"/>
        <v>4.6961327502848285</v>
      </c>
      <c r="DD39">
        <f t="shared" si="90"/>
        <v>4.2823465659791564</v>
      </c>
      <c r="DE39">
        <f t="shared" si="90"/>
        <v>3.9124212587562819</v>
      </c>
      <c r="DF39">
        <f t="shared" si="90"/>
        <v>3.5809707746248005</v>
      </c>
      <c r="DG39">
        <f t="shared" si="90"/>
        <v>3.2833493484609599</v>
      </c>
      <c r="DH39">
        <f t="shared" si="90"/>
        <v>3.0155416424714763</v>
      </c>
      <c r="DI39">
        <f t="shared" si="90"/>
        <v>2.774069673879024</v>
      </c>
      <c r="DJ39">
        <f t="shared" si="90"/>
        <v>2.5559141168122292</v>
      </c>
      <c r="DK39">
        <f t="shared" si="90"/>
        <v>2.3584478004751177</v>
      </c>
      <c r="DL39">
        <f t="shared" si="90"/>
        <v>2.1793794989979576</v>
      </c>
      <c r="DM39">
        <f t="shared" si="90"/>
        <v>2.0167063783247743</v>
      </c>
      <c r="DN39">
        <f t="shared" si="90"/>
        <v>1.8686737136110902</v>
      </c>
      <c r="DO39">
        <f t="shared" si="90"/>
        <v>1.7337407097574771</v>
      </c>
      <c r="DP39">
        <f t="shared" si="90"/>
        <v>1.6105514467158615</v>
      </c>
      <c r="DQ39">
        <f t="shared" si="90"/>
        <v>1.4979101317789203</v>
      </c>
      <c r="DR39">
        <f t="shared" si="90"/>
        <v>1.3947599761674576</v>
      </c>
      <c r="DS39">
        <f t="shared" si="90"/>
        <v>1.3001651262141838</v>
      </c>
      <c r="DT39">
        <f t="shared" si="90"/>
        <v>1.2132951735469939</v>
      </c>
      <c r="DU39">
        <f t="shared" si="90"/>
        <v>1.1334118469066461</v>
      </c>
      <c r="DV39">
        <f t="shared" si="90"/>
        <v>1.0598575531773211</v>
      </c>
      <c r="DW39" s="4">
        <f t="shared" si="90"/>
        <v>0.99204548912787327</v>
      </c>
      <c r="DZ39" s="8">
        <f t="shared" si="30"/>
        <v>108.24311775861149</v>
      </c>
      <c r="EB39" s="3">
        <f t="shared" si="31"/>
        <v>3749.9408043628637</v>
      </c>
      <c r="EF39" s="3">
        <f t="shared" si="32"/>
        <v>33359.131832984975</v>
      </c>
      <c r="EG39">
        <f t="shared" si="33"/>
        <v>0.95066273932253309</v>
      </c>
      <c r="EH39">
        <f t="shared" si="34"/>
        <v>31713.283649767011</v>
      </c>
      <c r="EI39" s="4">
        <f>SUM($EH$10:EH39)</f>
        <v>1015944.2047723314</v>
      </c>
      <c r="EJ39" s="4">
        <f t="shared" si="42"/>
        <v>1015.9442047723314</v>
      </c>
      <c r="EN39" s="3">
        <f t="shared" si="35"/>
        <v>441.60107591181628</v>
      </c>
      <c r="EO39">
        <v>5.1234271505445603</v>
      </c>
      <c r="EP39">
        <f t="shared" si="36"/>
        <v>446.72450306236084</v>
      </c>
      <c r="EQ39">
        <f>SUM($EP$10:EP39)</f>
        <v>13904.712064954178</v>
      </c>
      <c r="ER39">
        <f t="shared" si="37"/>
        <v>332322618.35240477</v>
      </c>
      <c r="ES39" s="4">
        <f t="shared" si="38"/>
        <v>197.71534178876323</v>
      </c>
    </row>
    <row r="40" spans="1:149" x14ac:dyDescent="0.25">
      <c r="A40" s="41"/>
      <c r="B40" s="39">
        <v>2020</v>
      </c>
      <c r="C40">
        <v>331578103</v>
      </c>
      <c r="D40" s="40">
        <f t="shared" si="6"/>
        <v>331.578103</v>
      </c>
      <c r="E40" s="11">
        <v>932.90408515583999</v>
      </c>
      <c r="F40" s="5">
        <f t="shared" si="8"/>
        <v>429.13587917168644</v>
      </c>
      <c r="G40" s="11">
        <v>334.02114666604803</v>
      </c>
      <c r="H40">
        <v>664</v>
      </c>
      <c r="I40" s="11">
        <v>51.095770840512003</v>
      </c>
      <c r="J40">
        <v>88200</v>
      </c>
      <c r="K40" s="13">
        <v>0.46</v>
      </c>
      <c r="L40" s="14">
        <f t="shared" si="10"/>
        <v>-1971.0341955035753</v>
      </c>
      <c r="N40" s="7">
        <f t="shared" si="11"/>
        <v>661.89277935876169</v>
      </c>
      <c r="O40" s="5">
        <f t="shared" si="12"/>
        <v>598.88293848979197</v>
      </c>
      <c r="P40">
        <v>88200</v>
      </c>
      <c r="Q40" s="5">
        <v>0.46400000000000002</v>
      </c>
      <c r="R40" s="5">
        <f t="shared" si="13"/>
        <v>27087.829616701449</v>
      </c>
      <c r="S40" s="5">
        <f t="shared" si="14"/>
        <v>307.11824962246544</v>
      </c>
      <c r="T40" s="5">
        <f t="shared" si="15"/>
        <v>277.88168345926351</v>
      </c>
      <c r="U40" s="6">
        <f t="shared" si="16"/>
        <v>26050.88929015238</v>
      </c>
      <c r="W40" s="9">
        <f t="shared" si="17"/>
        <v>26050.88929015238</v>
      </c>
      <c r="AA40" s="22">
        <v>0.12</v>
      </c>
      <c r="AB40">
        <v>0.36</v>
      </c>
      <c r="AC40" s="6">
        <f t="shared" si="39"/>
        <v>1421.6748020551336</v>
      </c>
      <c r="AD40" s="5"/>
      <c r="AE40" s="5"/>
      <c r="AF40" s="5"/>
      <c r="AG40" s="5"/>
      <c r="AH40" s="5">
        <v>0.02</v>
      </c>
      <c r="AJ40" s="3">
        <v>1.7999999999999999E-2</v>
      </c>
      <c r="AK40">
        <f t="shared" si="18"/>
        <v>5.0018703022667426</v>
      </c>
      <c r="AL40" s="6">
        <f t="shared" si="19"/>
        <v>487.580933100626</v>
      </c>
      <c r="AO40" s="5">
        <f t="shared" si="1"/>
        <v>-28.622321350818027</v>
      </c>
      <c r="AP40" s="5">
        <f t="shared" si="20"/>
        <v>5703.3639957491896</v>
      </c>
      <c r="AQ40" s="5">
        <f t="shared" si="21"/>
        <v>-6049.6548314684815</v>
      </c>
      <c r="AR40" s="6">
        <f t="shared" si="22"/>
        <v>395783.89785148378</v>
      </c>
      <c r="AS40" s="5"/>
      <c r="AT40" s="5"/>
      <c r="AV40" s="3">
        <f t="shared" si="49"/>
        <v>32090.551827900308</v>
      </c>
      <c r="AW40" s="5">
        <f t="shared" si="2"/>
        <v>432.8674955123098</v>
      </c>
      <c r="AX40" s="5">
        <v>457.75820052250447</v>
      </c>
      <c r="AZ40">
        <f t="shared" si="24"/>
        <v>0</v>
      </c>
      <c r="BA40" s="5">
        <f t="shared" si="25"/>
        <v>9.9922937205525795</v>
      </c>
      <c r="BB40" s="5">
        <f t="shared" si="26"/>
        <v>9.9922937205525795</v>
      </c>
      <c r="CI40">
        <f t="shared" ref="CI40:DW40" si="91">IF((CI$8-$B40)&gt;0,_xlfn.LOGNORM.DIST((CI$8-$B40+1),$BD$2,$BD$3,TRUE)-_xlfn.LOGNORM.DIST((CI$8-$B40),$BD$2,$BD$3,TRUE),_xlfn.LOGNORM.DIST((CI$8-$B40+1),$BD$2,$BD$3,TRUE))*$AW40</f>
        <v>5.2648700945037223</v>
      </c>
      <c r="CJ40">
        <f t="shared" si="91"/>
        <v>22.195899762285283</v>
      </c>
      <c r="CK40">
        <f t="shared" si="91"/>
        <v>31.058903815989879</v>
      </c>
      <c r="CL40">
        <f t="shared" si="91"/>
        <v>33.046765360894639</v>
      </c>
      <c r="CM40">
        <f t="shared" si="91"/>
        <v>31.87085034887069</v>
      </c>
      <c r="CN40">
        <f t="shared" si="91"/>
        <v>29.440400429408978</v>
      </c>
      <c r="CO40">
        <f t="shared" si="91"/>
        <v>26.638305313322896</v>
      </c>
      <c r="CP40">
        <f t="shared" si="91"/>
        <v>23.859741262933305</v>
      </c>
      <c r="CQ40">
        <f t="shared" si="91"/>
        <v>21.271306457030288</v>
      </c>
      <c r="CR40">
        <f t="shared" si="91"/>
        <v>18.932088500915416</v>
      </c>
      <c r="CS40">
        <f t="shared" si="91"/>
        <v>16.851046883711511</v>
      </c>
      <c r="CT40">
        <f t="shared" si="91"/>
        <v>15.014694637423377</v>
      </c>
      <c r="CU40">
        <f t="shared" si="91"/>
        <v>13.400581032201165</v>
      </c>
      <c r="CV40">
        <f t="shared" si="91"/>
        <v>11.983824287881843</v>
      </c>
      <c r="CW40">
        <f t="shared" si="91"/>
        <v>10.740182640535412</v>
      </c>
      <c r="CX40">
        <f t="shared" si="91"/>
        <v>9.6473866167363109</v>
      </c>
      <c r="CY40">
        <f t="shared" si="91"/>
        <v>8.6856014469170582</v>
      </c>
      <c r="CZ40">
        <f t="shared" si="91"/>
        <v>7.8374643363837899</v>
      </c>
      <c r="DA40">
        <f t="shared" si="91"/>
        <v>7.0879257767330071</v>
      </c>
      <c r="DB40">
        <f t="shared" si="91"/>
        <v>6.4240126202895196</v>
      </c>
      <c r="DC40">
        <f t="shared" si="91"/>
        <v>5.8345722943469687</v>
      </c>
      <c r="DD40">
        <f t="shared" si="91"/>
        <v>5.3100268145611853</v>
      </c>
      <c r="DE40">
        <f t="shared" si="91"/>
        <v>4.8421491264730854</v>
      </c>
      <c r="DF40">
        <f t="shared" si="91"/>
        <v>4.4238659549381429</v>
      </c>
      <c r="DG40">
        <f t="shared" si="91"/>
        <v>4.0490871631055008</v>
      </c>
      <c r="DH40">
        <f t="shared" si="91"/>
        <v>3.71255967601049</v>
      </c>
      <c r="DI40">
        <f t="shared" si="91"/>
        <v>3.4097432575725688</v>
      </c>
      <c r="DJ40">
        <f t="shared" si="91"/>
        <v>3.1367052715588581</v>
      </c>
      <c r="DK40">
        <f t="shared" si="91"/>
        <v>2.8900316957959169</v>
      </c>
      <c r="DL40">
        <f t="shared" si="91"/>
        <v>2.6667519269991158</v>
      </c>
      <c r="DM40">
        <f t="shared" si="91"/>
        <v>2.4642752226461617</v>
      </c>
      <c r="DN40">
        <f t="shared" si="91"/>
        <v>2.2803369315638746</v>
      </c>
      <c r="DO40">
        <f t="shared" si="91"/>
        <v>2.1129529454504219</v>
      </c>
      <c r="DP40">
        <f t="shared" si="91"/>
        <v>1.9603810513555375</v>
      </c>
      <c r="DQ40">
        <f t="shared" si="91"/>
        <v>1.8210880788608108</v>
      </c>
      <c r="DR40">
        <f t="shared" si="91"/>
        <v>1.6937219172661857</v>
      </c>
      <c r="DS40">
        <f t="shared" si="91"/>
        <v>1.577087630854711</v>
      </c>
      <c r="DT40">
        <f t="shared" si="91"/>
        <v>1.470127028060676</v>
      </c>
      <c r="DU40">
        <f t="shared" si="91"/>
        <v>1.3719011467726179</v>
      </c>
      <c r="DV40">
        <f t="shared" si="91"/>
        <v>1.2815752064612267</v>
      </c>
      <c r="DW40" s="4">
        <f t="shared" si="91"/>
        <v>1.1984056512553745</v>
      </c>
      <c r="DZ40" s="8">
        <f t="shared" si="30"/>
        <v>641.81103655800621</v>
      </c>
      <c r="EB40" s="3">
        <f t="shared" si="31"/>
        <v>4063.174442505217</v>
      </c>
      <c r="EF40" s="3">
        <f t="shared" si="32"/>
        <v>32578.132761000936</v>
      </c>
      <c r="EG40">
        <f t="shared" si="33"/>
        <v>0.86</v>
      </c>
      <c r="EH40">
        <f t="shared" si="34"/>
        <v>28017.194174460805</v>
      </c>
      <c r="EI40" s="4">
        <f>SUM($EH$10:EH40)</f>
        <v>1043961.3989467922</v>
      </c>
      <c r="EJ40" s="4">
        <f t="shared" si="42"/>
        <v>1043.9613989467923</v>
      </c>
      <c r="EN40" s="3">
        <f t="shared" si="35"/>
        <v>393.67205244935383</v>
      </c>
      <c r="EO40">
        <v>6.2361827534159993</v>
      </c>
      <c r="EP40">
        <f t="shared" si="36"/>
        <v>399.90823520276984</v>
      </c>
      <c r="EQ40">
        <f>SUM($EP$10:EP40)</f>
        <v>14304.620300156947</v>
      </c>
      <c r="ER40">
        <f t="shared" si="37"/>
        <v>341880425.173751</v>
      </c>
      <c r="ES40" s="4">
        <f t="shared" si="38"/>
        <v>203.40175895712315</v>
      </c>
    </row>
    <row r="41" spans="1:149" x14ac:dyDescent="0.25">
      <c r="A41" s="41"/>
      <c r="B41" s="39">
        <v>2021</v>
      </c>
      <c r="C41">
        <v>332100167</v>
      </c>
      <c r="D41" s="40">
        <f t="shared" si="6"/>
        <v>332.100167</v>
      </c>
      <c r="E41" s="11">
        <v>1090.2236776128</v>
      </c>
      <c r="F41" s="5">
        <f t="shared" si="8"/>
        <v>501.50289170188802</v>
      </c>
      <c r="G41" s="15">
        <v>442.39457740262401</v>
      </c>
      <c r="H41">
        <v>664</v>
      </c>
      <c r="I41" s="15">
        <v>54.111970227456005</v>
      </c>
      <c r="J41">
        <v>88200</v>
      </c>
      <c r="K41" s="13">
        <v>0.46</v>
      </c>
      <c r="L41" s="14">
        <f t="shared" si="10"/>
        <v>-2060.3058563464874</v>
      </c>
      <c r="N41" s="7">
        <f t="shared" si="11"/>
        <v>714.80760737029732</v>
      </c>
      <c r="O41" s="5">
        <f t="shared" si="12"/>
        <v>647.82910021017597</v>
      </c>
      <c r="P41">
        <v>88200</v>
      </c>
      <c r="Q41" s="5">
        <v>0.46400000000000002</v>
      </c>
      <c r="R41" s="5">
        <f t="shared" si="13"/>
        <v>29253.358370107944</v>
      </c>
      <c r="S41" s="5">
        <f t="shared" si="14"/>
        <v>331.67072981981795</v>
      </c>
      <c r="T41" s="5">
        <f t="shared" si="15"/>
        <v>300.59270249752166</v>
      </c>
      <c r="U41" s="6">
        <f t="shared" si="16"/>
        <v>28052.803902064807</v>
      </c>
      <c r="W41" s="9">
        <f t="shared" si="17"/>
        <v>28052.803902064807</v>
      </c>
      <c r="AA41" s="19">
        <v>0.12</v>
      </c>
      <c r="AB41">
        <v>0.36</v>
      </c>
      <c r="AC41" s="6">
        <f t="shared" si="39"/>
        <v>1386.3118389652932</v>
      </c>
      <c r="AD41" s="5"/>
      <c r="AE41" s="5"/>
      <c r="AF41" s="5"/>
      <c r="AG41" s="5"/>
      <c r="AH41" s="13">
        <v>0.02</v>
      </c>
      <c r="AJ41" s="3">
        <v>1.7999999999999999E-2</v>
      </c>
      <c r="AK41">
        <f t="shared" si="18"/>
        <v>5.4106686449553898</v>
      </c>
      <c r="AL41" s="6">
        <f t="shared" si="19"/>
        <v>526.56045066194292</v>
      </c>
      <c r="AO41" s="5">
        <f t="shared" si="1"/>
        <v>47.620694846969002</v>
      </c>
      <c r="AP41" s="5">
        <f t="shared" si="20"/>
        <v>5750.9846905961585</v>
      </c>
      <c r="AQ41" s="5">
        <f t="shared" si="21"/>
        <v>-3454.3435812057792</v>
      </c>
      <c r="AR41" s="6">
        <f t="shared" si="22"/>
        <v>392329.55427027802</v>
      </c>
      <c r="AS41" s="5"/>
      <c r="AT41" s="5"/>
      <c r="AV41" s="3">
        <f t="shared" si="49"/>
        <v>31497.071758092661</v>
      </c>
      <c r="AW41" s="5">
        <f t="shared" si="2"/>
        <v>505.86378641233921</v>
      </c>
      <c r="AX41" s="5">
        <v>453.88219685491902</v>
      </c>
      <c r="AZ41">
        <f t="shared" si="24"/>
        <v>0</v>
      </c>
      <c r="BA41" s="5">
        <f t="shared" si="25"/>
        <v>10.075725177924468</v>
      </c>
      <c r="BB41" s="5">
        <f t="shared" si="26"/>
        <v>10.075725177924468</v>
      </c>
      <c r="CJ41">
        <f t="shared" ref="CJ41:DW41" si="92">IF((CJ$8-$B41)&gt;0,_xlfn.LOGNORM.DIST((CJ$8-$B41+1),$BD$2,$BD$3,TRUE)-_xlfn.LOGNORM.DIST((CJ$8-$B41),$BD$2,$BD$3,TRUE),_xlfn.LOGNORM.DIST((CJ$8-$B41+1),$BD$2,$BD$3,TRUE))*$AW41</f>
        <v>6.1527075804632796</v>
      </c>
      <c r="CK41">
        <f t="shared" si="92"/>
        <v>25.938888950970146</v>
      </c>
      <c r="CL41">
        <f t="shared" si="92"/>
        <v>36.296499157503703</v>
      </c>
      <c r="CM41">
        <f t="shared" si="92"/>
        <v>38.619582268142132</v>
      </c>
      <c r="CN41">
        <f t="shared" si="92"/>
        <v>37.245367695210241</v>
      </c>
      <c r="CO41">
        <f t="shared" si="92"/>
        <v>34.405060645845523</v>
      </c>
      <c r="CP41">
        <f t="shared" si="92"/>
        <v>31.130436286182743</v>
      </c>
      <c r="CQ41">
        <f t="shared" si="92"/>
        <v>27.883311136127872</v>
      </c>
      <c r="CR41">
        <f t="shared" si="92"/>
        <v>24.858377535498228</v>
      </c>
      <c r="CS41">
        <f t="shared" si="92"/>
        <v>22.124687284342951</v>
      </c>
      <c r="CT41">
        <f t="shared" si="92"/>
        <v>19.692710748626173</v>
      </c>
      <c r="CU41">
        <f t="shared" si="92"/>
        <v>17.546686595450403</v>
      </c>
      <c r="CV41">
        <f t="shared" si="92"/>
        <v>15.660378132693213</v>
      </c>
      <c r="CW41">
        <f t="shared" si="92"/>
        <v>14.004707659542129</v>
      </c>
      <c r="CX41">
        <f t="shared" si="92"/>
        <v>12.551345420083209</v>
      </c>
      <c r="CY41">
        <f t="shared" si="92"/>
        <v>11.274266544661756</v>
      </c>
      <c r="CZ41">
        <f t="shared" si="92"/>
        <v>10.150291441970854</v>
      </c>
      <c r="DA41">
        <f t="shared" si="92"/>
        <v>9.159129355237134</v>
      </c>
      <c r="DB41">
        <f t="shared" si="92"/>
        <v>8.2831929133053031</v>
      </c>
      <c r="DC41">
        <f t="shared" si="92"/>
        <v>7.5073212513086363</v>
      </c>
      <c r="DD41">
        <f t="shared" si="92"/>
        <v>6.8184810906665847</v>
      </c>
      <c r="DE41">
        <f t="shared" si="92"/>
        <v>6.2054792707081079</v>
      </c>
      <c r="DF41">
        <f t="shared" si="92"/>
        <v>5.65870137371222</v>
      </c>
      <c r="DG41">
        <f t="shared" si="92"/>
        <v>5.1698813279963813</v>
      </c>
      <c r="DH41">
        <f t="shared" si="92"/>
        <v>4.7319019909728857</v>
      </c>
      <c r="DI41">
        <f t="shared" si="92"/>
        <v>4.3386244392541276</v>
      </c>
      <c r="DJ41">
        <f t="shared" si="92"/>
        <v>3.9847427973961889</v>
      </c>
      <c r="DK41">
        <f t="shared" si="92"/>
        <v>3.6656612519550684</v>
      </c>
      <c r="DL41">
        <f t="shared" si="92"/>
        <v>3.3773900596456801</v>
      </c>
      <c r="DM41">
        <f t="shared" si="92"/>
        <v>3.1164576716890764</v>
      </c>
      <c r="DN41">
        <f t="shared" si="92"/>
        <v>2.8798364576081861</v>
      </c>
      <c r="DO41">
        <f t="shared" si="92"/>
        <v>2.6648798684492419</v>
      </c>
      <c r="DP41">
        <f t="shared" si="92"/>
        <v>2.4692692072700546</v>
      </c>
      <c r="DQ41">
        <f t="shared" si="92"/>
        <v>2.2909684643242363</v>
      </c>
      <c r="DR41">
        <f t="shared" si="92"/>
        <v>2.128185924130459</v>
      </c>
      <c r="DS41">
        <f t="shared" si="92"/>
        <v>1.9793414637978382</v>
      </c>
      <c r="DT41">
        <f t="shared" si="92"/>
        <v>1.8430386405059656</v>
      </c>
      <c r="DU41">
        <f t="shared" si="92"/>
        <v>1.7180408153347795</v>
      </c>
      <c r="DV41">
        <f t="shared" si="92"/>
        <v>1.6032506849895618</v>
      </c>
      <c r="DW41" s="4">
        <f t="shared" si="92"/>
        <v>1.497692696342027</v>
      </c>
      <c r="DZ41" s="8">
        <f t="shared" si="30"/>
        <v>629.94143516185329</v>
      </c>
      <c r="EB41" s="3">
        <f t="shared" si="31"/>
        <v>4388.0037555161916</v>
      </c>
      <c r="EF41" s="3">
        <f t="shared" si="32"/>
        <v>32023.632208754603</v>
      </c>
      <c r="EG41">
        <f t="shared" si="33"/>
        <v>0.86</v>
      </c>
      <c r="EH41">
        <f t="shared" si="34"/>
        <v>27540.323699528959</v>
      </c>
      <c r="EI41" s="4">
        <f>SUM($EH$10:EH41)</f>
        <v>1071501.7226463212</v>
      </c>
      <c r="EJ41" s="4">
        <f t="shared" si="42"/>
        <v>1071.5017226463212</v>
      </c>
      <c r="EN41" s="3">
        <f t="shared" si="35"/>
        <v>390.33868929523032</v>
      </c>
      <c r="EO41">
        <v>6.3040595725008011</v>
      </c>
      <c r="EP41">
        <f t="shared" si="36"/>
        <v>396.64274886773114</v>
      </c>
      <c r="EQ41">
        <f>SUM($EP$10:EP41)</f>
        <v>14701.263049024677</v>
      </c>
      <c r="ER41">
        <f t="shared" si="37"/>
        <v>351360186.87168974</v>
      </c>
      <c r="ES41" s="4">
        <f t="shared" si="38"/>
        <v>209.04174317931182</v>
      </c>
    </row>
    <row r="42" spans="1:149" x14ac:dyDescent="0.25">
      <c r="A42" s="41"/>
      <c r="B42" s="39">
        <v>2022</v>
      </c>
      <c r="C42">
        <v>333996304</v>
      </c>
      <c r="D42" s="40">
        <f t="shared" si="6"/>
        <v>333.99630400000001</v>
      </c>
      <c r="E42" s="11">
        <v>985.78356649344016</v>
      </c>
      <c r="F42" s="5">
        <f t="shared" si="8"/>
        <v>453.46044058698249</v>
      </c>
      <c r="G42" s="15">
        <v>368.36694532915203</v>
      </c>
      <c r="H42">
        <v>664</v>
      </c>
      <c r="I42" s="15">
        <v>51.693629773824</v>
      </c>
      <c r="J42">
        <v>88200</v>
      </c>
      <c r="K42" s="13">
        <v>0.46</v>
      </c>
      <c r="L42" s="14">
        <f t="shared" si="10"/>
        <v>-1984.7999474022511</v>
      </c>
      <c r="N42" s="7">
        <f t="shared" si="11"/>
        <v>681.37500095530766</v>
      </c>
      <c r="O42" s="5">
        <f t="shared" si="12"/>
        <v>617.41662116428813</v>
      </c>
      <c r="P42">
        <v>88200</v>
      </c>
      <c r="Q42" s="5">
        <v>0.46400000000000002</v>
      </c>
      <c r="R42" s="5">
        <f t="shared" si="13"/>
        <v>27885.135639095777</v>
      </c>
      <c r="S42" s="5">
        <f t="shared" si="14"/>
        <v>316.15800044326278</v>
      </c>
      <c r="T42" s="5">
        <f t="shared" si="15"/>
        <v>286.48131222022971</v>
      </c>
      <c r="U42" s="6">
        <f t="shared" si="16"/>
        <v>26759.076750139408</v>
      </c>
      <c r="W42" s="9">
        <f t="shared" si="17"/>
        <v>26759.076750139408</v>
      </c>
      <c r="AA42" s="19">
        <v>0.12</v>
      </c>
      <c r="AB42">
        <v>0.36</v>
      </c>
      <c r="AC42" s="6">
        <f t="shared" si="39"/>
        <v>1360.6734999496027</v>
      </c>
      <c r="AD42" s="5"/>
      <c r="AE42" s="5"/>
      <c r="AF42" s="5"/>
      <c r="AG42" s="5"/>
      <c r="AH42" s="13">
        <v>0.02</v>
      </c>
      <c r="AJ42" s="3">
        <v>1.7999999999999999E-2</v>
      </c>
      <c r="AK42">
        <f t="shared" si="18"/>
        <v>5.1566636199641342</v>
      </c>
      <c r="AL42" s="6">
        <f t="shared" si="19"/>
        <v>501.93244150372391</v>
      </c>
      <c r="AO42" s="5">
        <f t="shared" ref="AO42:AO73" si="93">F42-AX42</f>
        <v>-0.3012386349429903</v>
      </c>
      <c r="AP42" s="5">
        <f t="shared" si="20"/>
        <v>5750.6834519612157</v>
      </c>
      <c r="AQ42" s="5">
        <f t="shared" ref="AQ42:AQ73" si="94">W42-AV42-BB42</f>
        <v>-4206.4133773708691</v>
      </c>
      <c r="AR42" s="6">
        <f t="shared" ref="AR42:AR73" si="95">AQ42+AR41</f>
        <v>388123.14089290716</v>
      </c>
      <c r="AS42" s="5"/>
      <c r="AT42" s="5"/>
      <c r="AV42" s="3">
        <f t="shared" ref="AV42:AV73" si="96">AX42/AP41*AR41</f>
        <v>30955.414930102441</v>
      </c>
      <c r="AW42" s="5">
        <f t="shared" ref="AW42:AW73" si="97">E42*Q42</f>
        <v>457.40357485295624</v>
      </c>
      <c r="AX42" s="5">
        <v>453.76167922192548</v>
      </c>
      <c r="AZ42">
        <f t="shared" si="24"/>
        <v>0</v>
      </c>
      <c r="BA42" s="5">
        <f t="shared" si="25"/>
        <v>10.07519740783605</v>
      </c>
      <c r="BB42" s="5">
        <f t="shared" si="26"/>
        <v>10.07519740783605</v>
      </c>
      <c r="CK42">
        <f t="shared" ref="CK42:DW42" si="98">IF((CK$8-$B42)&gt;0,_xlfn.LOGNORM.DIST((CK$8-$B42+1),$BD$2,$BD$3,TRUE)-_xlfn.LOGNORM.DIST((CK$8-$B42),$BD$2,$BD$3,TRUE),_xlfn.LOGNORM.DIST((CK$8-$B42+1),$BD$2,$BD$3,TRUE))*$AW42</f>
        <v>5.5632969149422795</v>
      </c>
      <c r="CL42">
        <f t="shared" si="98"/>
        <v>23.45402231306706</v>
      </c>
      <c r="CM42">
        <f t="shared" si="98"/>
        <v>32.819404976652713</v>
      </c>
      <c r="CN42">
        <f t="shared" si="98"/>
        <v>34.919943793678065</v>
      </c>
      <c r="CO42">
        <f t="shared" si="98"/>
        <v>33.677374795545205</v>
      </c>
      <c r="CP42">
        <f t="shared" si="98"/>
        <v>31.109160519379369</v>
      </c>
      <c r="CQ42">
        <f t="shared" si="98"/>
        <v>28.148235209755757</v>
      </c>
      <c r="CR42">
        <f t="shared" si="98"/>
        <v>25.212174769130765</v>
      </c>
      <c r="CS42">
        <f t="shared" si="98"/>
        <v>22.47702060355266</v>
      </c>
      <c r="CT42">
        <f t="shared" si="98"/>
        <v>20.00520956072803</v>
      </c>
      <c r="CU42">
        <f t="shared" si="98"/>
        <v>17.806208977419562</v>
      </c>
      <c r="CV42">
        <f t="shared" si="98"/>
        <v>15.865767408464745</v>
      </c>
      <c r="CW42">
        <f t="shared" si="98"/>
        <v>14.160161557016753</v>
      </c>
      <c r="CX42">
        <f t="shared" si="98"/>
        <v>12.663099277526966</v>
      </c>
      <c r="CY42">
        <f t="shared" si="98"/>
        <v>11.348964718499767</v>
      </c>
      <c r="CZ42">
        <f t="shared" si="98"/>
        <v>10.194226113608169</v>
      </c>
      <c r="DA42">
        <f t="shared" si="98"/>
        <v>9.1779244058645038</v>
      </c>
      <c r="DB42">
        <f t="shared" si="98"/>
        <v>8.28171263125612</v>
      </c>
      <c r="DC42">
        <f t="shared" si="98"/>
        <v>7.4896882352717506</v>
      </c>
      <c r="DD42">
        <f t="shared" si="98"/>
        <v>6.7881427177693281</v>
      </c>
      <c r="DE42">
        <f t="shared" si="98"/>
        <v>6.1652913486002898</v>
      </c>
      <c r="DF42">
        <f t="shared" si="98"/>
        <v>5.6110132378287378</v>
      </c>
      <c r="DG42">
        <f t="shared" si="98"/>
        <v>5.1166149996978092</v>
      </c>
      <c r="DH42">
        <f t="shared" si="98"/>
        <v>4.6746224270411867</v>
      </c>
      <c r="DI42">
        <f t="shared" si="98"/>
        <v>4.2786001778759166</v>
      </c>
      <c r="DJ42">
        <f t="shared" si="98"/>
        <v>3.9229974189961783</v>
      </c>
      <c r="DK42">
        <f t="shared" si="98"/>
        <v>3.6030165616815295</v>
      </c>
      <c r="DL42">
        <f t="shared" si="98"/>
        <v>3.3145020574323389</v>
      </c>
      <c r="DM42">
        <f t="shared" si="98"/>
        <v>3.0538463682307406</v>
      </c>
      <c r="DN42">
        <f t="shared" si="98"/>
        <v>2.8179105091080174</v>
      </c>
      <c r="DO42">
        <f t="shared" si="98"/>
        <v>2.6039568873747068</v>
      </c>
      <c r="DP42">
        <f t="shared" si="98"/>
        <v>2.4095924854142248</v>
      </c>
      <c r="DQ42">
        <f t="shared" si="98"/>
        <v>2.2327207303964038</v>
      </c>
      <c r="DR42">
        <f t="shared" si="98"/>
        <v>2.0715006561136442</v>
      </c>
      <c r="DS42">
        <f t="shared" si="98"/>
        <v>1.9243121879761222</v>
      </c>
      <c r="DT42">
        <f t="shared" si="98"/>
        <v>1.7897265740581003</v>
      </c>
      <c r="DU42">
        <f t="shared" si="98"/>
        <v>1.6664811465124441</v>
      </c>
      <c r="DV42">
        <f t="shared" si="98"/>
        <v>1.5534577326649437</v>
      </c>
      <c r="DW42" s="4">
        <f t="shared" si="98"/>
        <v>1.4496641475377781</v>
      </c>
      <c r="DZ42" s="8">
        <f t="shared" si="30"/>
        <v>619.10829860204888</v>
      </c>
      <c r="EB42" s="3">
        <f t="shared" si="31"/>
        <v>4182.7703458643664</v>
      </c>
      <c r="EF42" s="3">
        <f t="shared" si="32"/>
        <v>31457.347371606164</v>
      </c>
      <c r="EG42">
        <f t="shared" si="33"/>
        <v>0.86</v>
      </c>
      <c r="EH42">
        <f t="shared" si="34"/>
        <v>27053.3187395813</v>
      </c>
      <c r="EI42" s="4">
        <f>SUM($EH$10:EH42)</f>
        <v>1098555.0413859026</v>
      </c>
      <c r="EJ42" s="4">
        <f t="shared" si="42"/>
        <v>1098.5550413859025</v>
      </c>
      <c r="EN42" s="3">
        <f t="shared" si="35"/>
        <v>390.2350441308559</v>
      </c>
      <c r="EO42">
        <v>6.1864334455828107</v>
      </c>
      <c r="EP42">
        <f t="shared" si="36"/>
        <v>396.42147757643869</v>
      </c>
      <c r="EQ42">
        <f>SUM($EP$10:EP42)</f>
        <v>15097.684526601117</v>
      </c>
      <c r="ER42">
        <f t="shared" si="37"/>
        <v>360834660.1857667</v>
      </c>
      <c r="ES42" s="4">
        <f t="shared" si="38"/>
        <v>214.67858107752187</v>
      </c>
    </row>
    <row r="43" spans="1:149" x14ac:dyDescent="0.25">
      <c r="A43" s="41" t="s">
        <v>2</v>
      </c>
      <c r="B43" s="39">
        <v>2023</v>
      </c>
      <c r="C43">
        <v>336755052</v>
      </c>
      <c r="D43" s="40">
        <f t="shared" si="6"/>
        <v>336.75505199999998</v>
      </c>
      <c r="E43" s="11">
        <v>898.47403272576014</v>
      </c>
      <c r="F43" s="5">
        <f t="shared" si="8"/>
        <v>413.29805505384968</v>
      </c>
      <c r="G43" s="15">
        <v>336.42086006016001</v>
      </c>
      <c r="H43">
        <v>664</v>
      </c>
      <c r="I43" s="15">
        <v>48.889704542976006</v>
      </c>
      <c r="J43">
        <v>88200</v>
      </c>
      <c r="K43" s="13">
        <v>0.46</v>
      </c>
      <c r="L43" s="14">
        <f t="shared" si="10"/>
        <v>-1880.7967052208473</v>
      </c>
      <c r="N43" s="7">
        <f t="shared" si="11"/>
        <v>622.14142281932402</v>
      </c>
      <c r="O43" s="5">
        <f t="shared" si="12"/>
        <v>562.05317266560019</v>
      </c>
      <c r="P43">
        <v>88200</v>
      </c>
      <c r="Q43" s="5">
        <v>0.46400000000000002</v>
      </c>
      <c r="R43" s="5">
        <f t="shared" si="13"/>
        <v>25461.013300596274</v>
      </c>
      <c r="S43" s="5">
        <f t="shared" si="14"/>
        <v>288.67362018816635</v>
      </c>
      <c r="T43" s="5">
        <f t="shared" si="15"/>
        <v>260.7926721168385</v>
      </c>
      <c r="U43" s="6">
        <f t="shared" si="16"/>
        <v>24459.192280945121</v>
      </c>
      <c r="W43" s="9">
        <f t="shared" si="17"/>
        <v>24459.192280945121</v>
      </c>
      <c r="AA43" s="19">
        <v>0.12</v>
      </c>
      <c r="AB43">
        <v>0.36</v>
      </c>
      <c r="AC43" s="6">
        <f t="shared" si="39"/>
        <v>1337.2739249804254</v>
      </c>
      <c r="AD43" s="5"/>
      <c r="AE43" s="5"/>
      <c r="AF43" s="5"/>
      <c r="AG43" s="5"/>
      <c r="AH43" s="13">
        <v>0.02</v>
      </c>
      <c r="AJ43" s="3">
        <v>1.7999999999999999E-2</v>
      </c>
      <c r="AK43">
        <f t="shared" si="18"/>
        <v>4.6942680981030929</v>
      </c>
      <c r="AL43" s="6">
        <f t="shared" si="19"/>
        <v>458.29823941073295</v>
      </c>
      <c r="AO43" s="5">
        <f t="shared" si="93"/>
        <v>-40.300615001055462</v>
      </c>
      <c r="AP43" s="5">
        <f t="shared" si="20"/>
        <v>5710.3828369601606</v>
      </c>
      <c r="AQ43" s="5">
        <f t="shared" si="94"/>
        <v>-6164.9370476917102</v>
      </c>
      <c r="AR43" s="6">
        <f t="shared" si="95"/>
        <v>381958.20384521544</v>
      </c>
      <c r="AS43" s="5"/>
      <c r="AT43" s="5"/>
      <c r="AV43" s="3">
        <f t="shared" si="96"/>
        <v>30614.124737906477</v>
      </c>
      <c r="AW43" s="5">
        <f t="shared" si="97"/>
        <v>416.89195118475271</v>
      </c>
      <c r="AX43" s="5">
        <v>453.59867005490514</v>
      </c>
      <c r="AZ43">
        <f t="shared" si="24"/>
        <v>0</v>
      </c>
      <c r="BA43" s="5">
        <f t="shared" si="25"/>
        <v>10.004590730354201</v>
      </c>
      <c r="BB43" s="5">
        <f t="shared" si="26"/>
        <v>10.004590730354201</v>
      </c>
      <c r="CL43">
        <f t="shared" ref="CL43:DW43" si="99">IF((CL$8-$B43)&gt;0,_xlfn.LOGNORM.DIST((CL$8-$B43+1),$BD$2,$BD$3,TRUE)-_xlfn.LOGNORM.DIST((CL$8-$B43),$BD$2,$BD$3,TRUE),_xlfn.LOGNORM.DIST((CL$8-$B43+1),$BD$2,$BD$3,TRUE))*$AW43</f>
        <v>5.0705631381127629</v>
      </c>
      <c r="CM43">
        <f t="shared" si="99"/>
        <v>21.376730884467985</v>
      </c>
      <c r="CN43">
        <f t="shared" si="99"/>
        <v>29.912634114934054</v>
      </c>
      <c r="CO43">
        <f t="shared" si="99"/>
        <v>31.827131014636969</v>
      </c>
      <c r="CP43">
        <f t="shared" si="99"/>
        <v>30.69461469296235</v>
      </c>
      <c r="CQ43">
        <f t="shared" si="99"/>
        <v>28.353863724858293</v>
      </c>
      <c r="CR43">
        <f t="shared" si="99"/>
        <v>25.655183614983486</v>
      </c>
      <c r="CS43">
        <f t="shared" si="99"/>
        <v>22.979166125872236</v>
      </c>
      <c r="CT43">
        <f t="shared" si="99"/>
        <v>20.486260911378608</v>
      </c>
      <c r="CU43">
        <f t="shared" si="99"/>
        <v>18.233374871005068</v>
      </c>
      <c r="CV43">
        <f t="shared" si="99"/>
        <v>16.22913683214281</v>
      </c>
      <c r="CW43">
        <f t="shared" si="99"/>
        <v>14.460557581091621</v>
      </c>
      <c r="CX43">
        <f t="shared" si="99"/>
        <v>12.906014961719066</v>
      </c>
      <c r="CY43">
        <f t="shared" si="99"/>
        <v>11.541545488689199</v>
      </c>
      <c r="CZ43">
        <f t="shared" si="99"/>
        <v>10.34380207225813</v>
      </c>
      <c r="DA43">
        <f t="shared" si="99"/>
        <v>9.2913371232109441</v>
      </c>
      <c r="DB43">
        <f t="shared" si="99"/>
        <v>8.3650479002422387</v>
      </c>
      <c r="DC43">
        <f t="shared" si="99"/>
        <v>7.5482124054358204</v>
      </c>
      <c r="DD43">
        <f t="shared" si="99"/>
        <v>6.8263365522923554</v>
      </c>
      <c r="DE43">
        <f t="shared" si="99"/>
        <v>6.1869259842168356</v>
      </c>
      <c r="DF43">
        <f t="shared" si="99"/>
        <v>5.6192397288690286</v>
      </c>
      <c r="DG43">
        <f t="shared" si="99"/>
        <v>5.1140532900161286</v>
      </c>
      <c r="DH43">
        <f t="shared" si="99"/>
        <v>4.6634432434659541</v>
      </c>
      <c r="DI43">
        <f t="shared" si="99"/>
        <v>4.2605973625975686</v>
      </c>
      <c r="DJ43">
        <f t="shared" si="99"/>
        <v>3.8996502750717239</v>
      </c>
      <c r="DK43">
        <f t="shared" si="99"/>
        <v>3.5755427775653632</v>
      </c>
      <c r="DL43">
        <f t="shared" si="99"/>
        <v>3.2839021973828451</v>
      </c>
      <c r="DM43">
        <f t="shared" si="99"/>
        <v>3.0209410374045622</v>
      </c>
      <c r="DN43">
        <f t="shared" si="99"/>
        <v>2.7833712744362824</v>
      </c>
      <c r="DO43">
        <f t="shared" si="99"/>
        <v>2.5683319392152071</v>
      </c>
      <c r="DP43">
        <f t="shared" si="99"/>
        <v>2.3733279039797619</v>
      </c>
      <c r="DQ43">
        <f t="shared" si="99"/>
        <v>2.1961780974872971</v>
      </c>
      <c r="DR43">
        <f t="shared" si="99"/>
        <v>2.0349716375628084</v>
      </c>
      <c r="DS43">
        <f t="shared" si="99"/>
        <v>1.8880306099167146</v>
      </c>
      <c r="DT43">
        <f t="shared" si="99"/>
        <v>1.7538784278016697</v>
      </c>
      <c r="DU43">
        <f t="shared" si="99"/>
        <v>1.6312128819416067</v>
      </c>
      <c r="DV43">
        <f t="shared" si="99"/>
        <v>1.5188831372940599</v>
      </c>
      <c r="DW43" s="4">
        <f t="shared" si="99"/>
        <v>1.4158700562450244</v>
      </c>
      <c r="DZ43" s="8">
        <f t="shared" si="30"/>
        <v>612.28249475812959</v>
      </c>
      <c r="EB43" s="3">
        <f t="shared" si="31"/>
        <v>3819.1519950894408</v>
      </c>
      <c r="EF43" s="3">
        <f t="shared" si="32"/>
        <v>31072.422977317208</v>
      </c>
      <c r="EG43">
        <f t="shared" si="33"/>
        <v>0.86</v>
      </c>
      <c r="EH43">
        <f t="shared" si="34"/>
        <v>26722.283760492799</v>
      </c>
      <c r="EI43" s="4">
        <f>SUM($EH$10:EH43)</f>
        <v>1125277.3251463952</v>
      </c>
      <c r="EJ43" s="4">
        <f t="shared" si="42"/>
        <v>1125.2773251463952</v>
      </c>
      <c r="EN43" s="3">
        <f t="shared" si="35"/>
        <v>390.09485624721839</v>
      </c>
      <c r="EO43">
        <v>6.2372725924335413</v>
      </c>
      <c r="EP43">
        <f t="shared" si="36"/>
        <v>396.33212883965194</v>
      </c>
      <c r="EQ43">
        <f>SUM($EP$10:EP43)</f>
        <v>15494.01665544077</v>
      </c>
      <c r="ER43">
        <f t="shared" si="37"/>
        <v>370306998.06503439</v>
      </c>
      <c r="ES43" s="4">
        <f t="shared" si="38"/>
        <v>220.31414849879224</v>
      </c>
    </row>
    <row r="44" spans="1:149" x14ac:dyDescent="0.25">
      <c r="A44" s="41"/>
      <c r="B44" s="39">
        <v>2024</v>
      </c>
      <c r="C44">
        <v>340003797</v>
      </c>
      <c r="D44" s="40">
        <f t="shared" si="6"/>
        <v>340.00379700000002</v>
      </c>
      <c r="E44" s="11">
        <v>885.52910893824014</v>
      </c>
      <c r="F44" s="5">
        <f t="shared" si="8"/>
        <v>407.34339011159051</v>
      </c>
      <c r="G44" s="15">
        <v>374.74459038028806</v>
      </c>
      <c r="H44">
        <v>664</v>
      </c>
      <c r="I44" s="15">
        <v>48.854252742911996</v>
      </c>
      <c r="J44">
        <v>88200</v>
      </c>
      <c r="K44" s="13">
        <v>0.46</v>
      </c>
      <c r="L44" s="14">
        <f t="shared" si="10"/>
        <v>-1867.6527545996705</v>
      </c>
      <c r="N44" s="7">
        <f t="shared" si="11"/>
        <v>569.89691578499389</v>
      </c>
      <c r="O44" s="5">
        <f t="shared" si="12"/>
        <v>510.78451855795208</v>
      </c>
      <c r="P44">
        <v>88200</v>
      </c>
      <c r="Q44" s="5">
        <v>0.46400000000000002</v>
      </c>
      <c r="R44" s="5">
        <f t="shared" si="13"/>
        <v>23322.917299117718</v>
      </c>
      <c r="S44" s="5">
        <f t="shared" si="14"/>
        <v>264.4321689242372</v>
      </c>
      <c r="T44" s="5">
        <f t="shared" si="15"/>
        <v>237.00401661088978</v>
      </c>
      <c r="U44" s="6">
        <f t="shared" si="16"/>
        <v>22357.982221811486</v>
      </c>
      <c r="W44" s="9">
        <f t="shared" si="17"/>
        <v>22357.982221811486</v>
      </c>
      <c r="AA44" s="19">
        <v>0.12</v>
      </c>
      <c r="AB44">
        <v>0.36</v>
      </c>
      <c r="AC44" s="6">
        <f t="shared" si="39"/>
        <v>1322.5301886775596</v>
      </c>
      <c r="AD44" s="5"/>
      <c r="AE44" s="5"/>
      <c r="AF44" s="5"/>
      <c r="AG44" s="5"/>
      <c r="AH44" s="13">
        <v>0.02</v>
      </c>
      <c r="AJ44" s="3">
        <v>1.7999999999999999E-2</v>
      </c>
      <c r="AK44">
        <f t="shared" si="18"/>
        <v>4.2660722989960158</v>
      </c>
      <c r="AL44" s="6">
        <f t="shared" si="19"/>
        <v>419.81251138411886</v>
      </c>
      <c r="AO44" s="5">
        <f t="shared" si="93"/>
        <v>-44.286614797760762</v>
      </c>
      <c r="AP44" s="5">
        <f t="shared" si="20"/>
        <v>5666.0962221623995</v>
      </c>
      <c r="AQ44" s="5">
        <f t="shared" si="94"/>
        <v>-7860.7399511809017</v>
      </c>
      <c r="AR44" s="6">
        <f t="shared" si="95"/>
        <v>374097.46389403456</v>
      </c>
      <c r="AS44" s="5"/>
      <c r="AT44" s="5"/>
      <c r="AV44" s="3">
        <f t="shared" si="96"/>
        <v>30208.795172411159</v>
      </c>
      <c r="AW44" s="5">
        <f t="shared" si="97"/>
        <v>410.88550654734343</v>
      </c>
      <c r="AX44" s="5">
        <v>451.63000490935127</v>
      </c>
      <c r="AZ44">
        <f t="shared" si="24"/>
        <v>0</v>
      </c>
      <c r="BA44" s="5">
        <f t="shared" si="25"/>
        <v>9.9270005812285227</v>
      </c>
      <c r="BB44" s="5">
        <f t="shared" si="26"/>
        <v>9.9270005812285227</v>
      </c>
      <c r="CM44">
        <f t="shared" ref="CM44:DW44" si="100">IF((CM$8-$B44)&gt;0,_xlfn.LOGNORM.DIST((CM$8-$B44+1),$BD$2,$BD$3,TRUE)-_xlfn.LOGNORM.DIST((CM$8-$B44),$BD$2,$BD$3,TRUE),_xlfn.LOGNORM.DIST((CM$8-$B44+1),$BD$2,$BD$3,TRUE))*$AW44</f>
        <v>4.9975081014707499</v>
      </c>
      <c r="CN44">
        <f t="shared" si="100"/>
        <v>21.068741847449008</v>
      </c>
      <c r="CO44">
        <f t="shared" si="100"/>
        <v>29.481662540021571</v>
      </c>
      <c r="CP44">
        <f t="shared" si="100"/>
        <v>31.368575986496666</v>
      </c>
      <c r="CQ44">
        <f t="shared" si="100"/>
        <v>30.25237659434724</v>
      </c>
      <c r="CR44">
        <f t="shared" si="100"/>
        <v>27.945350410470663</v>
      </c>
      <c r="CS44">
        <f t="shared" si="100"/>
        <v>25.285552012339092</v>
      </c>
      <c r="CT44">
        <f t="shared" si="100"/>
        <v>22.648089719247835</v>
      </c>
      <c r="CU44">
        <f t="shared" si="100"/>
        <v>20.191101478240054</v>
      </c>
      <c r="CV44">
        <f t="shared" si="100"/>
        <v>17.970674292582803</v>
      </c>
      <c r="CW44">
        <f t="shared" si="100"/>
        <v>15.995312668308074</v>
      </c>
      <c r="CX44">
        <f t="shared" si="100"/>
        <v>14.252214536113033</v>
      </c>
      <c r="CY44">
        <f t="shared" si="100"/>
        <v>12.720069264909997</v>
      </c>
      <c r="CZ44">
        <f t="shared" si="100"/>
        <v>11.37525862752303</v>
      </c>
      <c r="DA44">
        <f t="shared" si="100"/>
        <v>10.19477191153957</v>
      </c>
      <c r="DB44">
        <f t="shared" si="100"/>
        <v>9.1574705376856702</v>
      </c>
      <c r="DC44">
        <f t="shared" si="100"/>
        <v>8.2445269907852587</v>
      </c>
      <c r="DD44">
        <f t="shared" si="100"/>
        <v>7.4394601980693515</v>
      </c>
      <c r="DE44">
        <f t="shared" si="100"/>
        <v>6.7279848991574243</v>
      </c>
      <c r="DF44">
        <f t="shared" si="100"/>
        <v>6.0977867521104363</v>
      </c>
      <c r="DG44">
        <f t="shared" si="100"/>
        <v>5.5382795370498661</v>
      </c>
      <c r="DH44">
        <f t="shared" si="100"/>
        <v>5.0403716613064633</v>
      </c>
      <c r="DI44">
        <f t="shared" si="100"/>
        <v>4.5962538588256994</v>
      </c>
      <c r="DJ44">
        <f t="shared" si="100"/>
        <v>4.199212051348435</v>
      </c>
      <c r="DK44">
        <f t="shared" si="100"/>
        <v>3.8434653729264294</v>
      </c>
      <c r="DL44">
        <f t="shared" si="100"/>
        <v>3.5240275116047175</v>
      </c>
      <c r="DM44">
        <f t="shared" si="100"/>
        <v>3.2365887947441228</v>
      </c>
      <c r="DN44">
        <f t="shared" si="100"/>
        <v>2.9774162942607281</v>
      </c>
      <c r="DO44">
        <f t="shared" si="100"/>
        <v>2.7432693597369315</v>
      </c>
      <c r="DP44">
        <f t="shared" si="100"/>
        <v>2.5313282418313983</v>
      </c>
      <c r="DQ44">
        <f t="shared" si="100"/>
        <v>2.3391337617777803</v>
      </c>
      <c r="DR44">
        <f t="shared" si="100"/>
        <v>2.1645362725037236</v>
      </c>
      <c r="DS44">
        <f t="shared" si="100"/>
        <v>2.0056524232076662</v>
      </c>
      <c r="DT44">
        <f t="shared" si="100"/>
        <v>1.8608284744473897</v>
      </c>
      <c r="DU44">
        <f t="shared" si="100"/>
        <v>1.7286091136606812</v>
      </c>
      <c r="DV44">
        <f t="shared" si="100"/>
        <v>1.6077108933823001</v>
      </c>
      <c r="DW44" s="4">
        <f t="shared" si="100"/>
        <v>1.4969995594295205</v>
      </c>
      <c r="DZ44" s="8">
        <f t="shared" si="30"/>
        <v>604.17590344822315</v>
      </c>
      <c r="EB44" s="3">
        <f t="shared" si="31"/>
        <v>3498.4375948676575</v>
      </c>
      <c r="EF44" s="3">
        <f t="shared" si="32"/>
        <v>30628.607683795279</v>
      </c>
      <c r="EG44">
        <f t="shared" si="33"/>
        <v>0.86</v>
      </c>
      <c r="EH44">
        <f t="shared" si="34"/>
        <v>26340.602608063939</v>
      </c>
      <c r="EI44" s="4">
        <f>SUM($EH$10:EH44)</f>
        <v>1151617.9277544592</v>
      </c>
      <c r="EJ44" s="4">
        <f t="shared" si="42"/>
        <v>1151.6179277544593</v>
      </c>
      <c r="EN44" s="3">
        <f t="shared" si="35"/>
        <v>388.40180422204207</v>
      </c>
      <c r="EO44">
        <v>6.284109683650823</v>
      </c>
      <c r="EP44">
        <f t="shared" si="36"/>
        <v>394.68591390569287</v>
      </c>
      <c r="EQ44">
        <f>SUM($EP$10:EP44)</f>
        <v>15888.702569346462</v>
      </c>
      <c r="ER44">
        <f t="shared" si="37"/>
        <v>379739991.40738046</v>
      </c>
      <c r="ES44" s="4">
        <f t="shared" si="38"/>
        <v>225.92630788782103</v>
      </c>
    </row>
    <row r="45" spans="1:149" x14ac:dyDescent="0.25">
      <c r="A45" s="41"/>
      <c r="B45" s="39">
        <v>2025</v>
      </c>
      <c r="C45">
        <v>341784856</v>
      </c>
      <c r="D45" s="40">
        <f t="shared" si="6"/>
        <v>341.78485599999999</v>
      </c>
      <c r="E45" s="11">
        <v>856.77775482816014</v>
      </c>
      <c r="F45" s="5">
        <f t="shared" si="8"/>
        <v>394.11776722095368</v>
      </c>
      <c r="G45" s="15">
        <v>357.080675256576</v>
      </c>
      <c r="H45">
        <v>664</v>
      </c>
      <c r="I45" s="15">
        <v>42.488508571200001</v>
      </c>
      <c r="J45">
        <v>88200</v>
      </c>
      <c r="K45" s="13">
        <v>0.46</v>
      </c>
      <c r="L45" s="14">
        <f t="shared" si="10"/>
        <v>-1614.7770483003578</v>
      </c>
      <c r="N45" s="7">
        <f t="shared" si="11"/>
        <v>552.12381684601235</v>
      </c>
      <c r="O45" s="5">
        <f t="shared" si="12"/>
        <v>499.69707957158414</v>
      </c>
      <c r="P45">
        <v>88200</v>
      </c>
      <c r="Q45" s="5">
        <v>0.46400000000000002</v>
      </c>
      <c r="R45" s="5">
        <f t="shared" si="13"/>
        <v>22595.556779659684</v>
      </c>
      <c r="S45" s="5">
        <f t="shared" si="14"/>
        <v>256.18545101654973</v>
      </c>
      <c r="T45" s="5">
        <f t="shared" si="15"/>
        <v>231.85944492121504</v>
      </c>
      <c r="U45" s="6">
        <f t="shared" si="16"/>
        <v>21879.079660773612</v>
      </c>
      <c r="W45" s="9">
        <f t="shared" si="17"/>
        <v>21879.079660773612</v>
      </c>
      <c r="AA45" s="19">
        <v>0.12</v>
      </c>
      <c r="AB45">
        <v>0.36</v>
      </c>
      <c r="AC45" s="6">
        <f t="shared" si="39"/>
        <v>1305.0199514481619</v>
      </c>
      <c r="AD45" s="5"/>
      <c r="AE45" s="5"/>
      <c r="AF45" s="5"/>
      <c r="AG45" s="5"/>
      <c r="AH45" s="13">
        <v>0.02</v>
      </c>
      <c r="AJ45" s="3">
        <v>1.7999999999999999E-2</v>
      </c>
      <c r="AK45">
        <f t="shared" si="18"/>
        <v>4.1734700085818703</v>
      </c>
      <c r="AL45" s="6">
        <f t="shared" si="19"/>
        <v>406.72002203387427</v>
      </c>
      <c r="AO45" s="5">
        <f t="shared" si="93"/>
        <v>-54.227045983424944</v>
      </c>
      <c r="AP45" s="5">
        <f t="shared" si="20"/>
        <v>5611.8691761789742</v>
      </c>
      <c r="AQ45" s="5">
        <f t="shared" si="94"/>
        <v>-7732.2011964273979</v>
      </c>
      <c r="AR45" s="6">
        <f t="shared" si="95"/>
        <v>366365.26269760716</v>
      </c>
      <c r="AS45" s="5"/>
      <c r="AT45" s="5"/>
      <c r="AV45" s="3">
        <f t="shared" si="96"/>
        <v>29601.448862404344</v>
      </c>
      <c r="AW45" s="5">
        <f t="shared" si="97"/>
        <v>397.54487824026631</v>
      </c>
      <c r="AX45" s="5">
        <v>448.34481320437862</v>
      </c>
      <c r="AZ45">
        <f t="shared" si="24"/>
        <v>0</v>
      </c>
      <c r="BA45" s="5">
        <f t="shared" si="25"/>
        <v>9.8319947966655636</v>
      </c>
      <c r="BB45" s="5">
        <f t="shared" si="26"/>
        <v>9.8319947966655636</v>
      </c>
      <c r="CN45">
        <f t="shared" ref="CN45:DW45" si="101">IF((CN$8-$B45)&gt;0,_xlfn.LOGNORM.DIST((CN$8-$B45+1),$BD$2,$BD$3,TRUE)-_xlfn.LOGNORM.DIST((CN$8-$B45),$BD$2,$BD$3,TRUE),_xlfn.LOGNORM.DIST((CN$8-$B45+1),$BD$2,$BD$3,TRUE))*$AW45</f>
        <v>4.8352490366437797</v>
      </c>
      <c r="CO45">
        <f t="shared" si="101"/>
        <v>20.384682056081818</v>
      </c>
      <c r="CP45">
        <f t="shared" si="101"/>
        <v>28.524452087099963</v>
      </c>
      <c r="CQ45">
        <f t="shared" si="101"/>
        <v>30.350101238446779</v>
      </c>
      <c r="CR45">
        <f t="shared" si="101"/>
        <v>29.270142601860567</v>
      </c>
      <c r="CS45">
        <f t="shared" si="101"/>
        <v>27.038020931098632</v>
      </c>
      <c r="CT45">
        <f t="shared" si="101"/>
        <v>24.464580852342689</v>
      </c>
      <c r="CU45">
        <f t="shared" si="101"/>
        <v>21.912751670094703</v>
      </c>
      <c r="CV45">
        <f t="shared" si="101"/>
        <v>19.535536909425943</v>
      </c>
      <c r="CW45">
        <f t="shared" si="101"/>
        <v>17.387202541098013</v>
      </c>
      <c r="CX45">
        <f t="shared" si="101"/>
        <v>15.475976946889064</v>
      </c>
      <c r="CY45">
        <f t="shared" si="101"/>
        <v>13.789473715010116</v>
      </c>
      <c r="CZ45">
        <f t="shared" si="101"/>
        <v>12.307074127823341</v>
      </c>
      <c r="DA45">
        <f t="shared" si="101"/>
        <v>11.005926794619423</v>
      </c>
      <c r="DB45">
        <f t="shared" si="101"/>
        <v>9.8637681146665148</v>
      </c>
      <c r="DC45">
        <f t="shared" si="101"/>
        <v>8.8601458359632019</v>
      </c>
      <c r="DD45">
        <f t="shared" si="101"/>
        <v>7.9768437349898678</v>
      </c>
      <c r="DE45">
        <f t="shared" si="101"/>
        <v>7.197915846355154</v>
      </c>
      <c r="DF45">
        <f t="shared" si="101"/>
        <v>6.5095407234319289</v>
      </c>
      <c r="DG45">
        <f t="shared" si="101"/>
        <v>5.8998038462657121</v>
      </c>
      <c r="DH45">
        <f t="shared" si="101"/>
        <v>5.3584627083052379</v>
      </c>
      <c r="DI45">
        <f t="shared" si="101"/>
        <v>4.8767209026607174</v>
      </c>
      <c r="DJ45">
        <f t="shared" si="101"/>
        <v>4.447022714483797</v>
      </c>
      <c r="DK45">
        <f t="shared" si="101"/>
        <v>4.0628720581703517</v>
      </c>
      <c r="DL45">
        <f t="shared" si="101"/>
        <v>3.7186757608951155</v>
      </c>
      <c r="DM45">
        <f t="shared" si="101"/>
        <v>3.4096094062515285</v>
      </c>
      <c r="DN45">
        <f t="shared" si="101"/>
        <v>3.1315032480273346</v>
      </c>
      <c r="DO45">
        <f t="shared" si="101"/>
        <v>2.8807455588265722</v>
      </c>
      <c r="DP45">
        <f t="shared" si="101"/>
        <v>2.6542009056511047</v>
      </c>
      <c r="DQ45">
        <f t="shared" si="101"/>
        <v>2.4491410907652931</v>
      </c>
      <c r="DR45">
        <f t="shared" si="101"/>
        <v>2.2631867800050931</v>
      </c>
      <c r="DS45">
        <f t="shared" si="101"/>
        <v>2.0942581210271611</v>
      </c>
      <c r="DT45">
        <f t="shared" si="101"/>
        <v>1.9405329116531282</v>
      </c>
      <c r="DU45">
        <f t="shared" si="101"/>
        <v>1.8004111060436503</v>
      </c>
      <c r="DV45">
        <f t="shared" si="101"/>
        <v>1.6724846427165692</v>
      </c>
      <c r="DW45" s="4">
        <f t="shared" si="101"/>
        <v>1.5555117451717004</v>
      </c>
      <c r="DZ45" s="8">
        <f t="shared" si="30"/>
        <v>592.0289772480869</v>
      </c>
      <c r="EB45" s="3">
        <f t="shared" si="31"/>
        <v>3389.3335169489524</v>
      </c>
      <c r="EF45" s="3">
        <f t="shared" si="32"/>
        <v>30008.168884438219</v>
      </c>
      <c r="EG45">
        <f t="shared" si="33"/>
        <v>0.86</v>
      </c>
      <c r="EH45">
        <f t="shared" si="34"/>
        <v>25807.025240616869</v>
      </c>
      <c r="EI45" s="4">
        <f>SUM($EH$10:EH45)</f>
        <v>1177424.9529950761</v>
      </c>
      <c r="EJ45" s="4">
        <f t="shared" si="42"/>
        <v>1177.4249529950762</v>
      </c>
      <c r="EN45" s="3">
        <f t="shared" si="35"/>
        <v>385.57653935576559</v>
      </c>
      <c r="EO45">
        <v>6.3312994543433643</v>
      </c>
      <c r="EP45">
        <f t="shared" si="36"/>
        <v>391.90783881010896</v>
      </c>
      <c r="EQ45">
        <f>SUM($EP$10:EP45)</f>
        <v>16280.610408156572</v>
      </c>
      <c r="ER45">
        <f t="shared" si="37"/>
        <v>389106588.75494206</v>
      </c>
      <c r="ES45" s="4">
        <f t="shared" si="38"/>
        <v>231.49896497975277</v>
      </c>
    </row>
    <row r="46" spans="1:149" x14ac:dyDescent="0.25">
      <c r="A46" s="41"/>
      <c r="B46" s="39">
        <v>2026</v>
      </c>
      <c r="C46">
        <v>343931828</v>
      </c>
      <c r="D46" s="40">
        <f t="shared" si="6"/>
        <v>343.931828</v>
      </c>
      <c r="E46" s="12">
        <f t="shared" ref="E46:E80" si="102">D46*$J$2</f>
        <v>949.25184527999988</v>
      </c>
      <c r="F46" s="5">
        <f t="shared" si="8"/>
        <v>436.65584882879995</v>
      </c>
      <c r="G46" s="13">
        <f t="shared" ref="G46:G80" si="103">E46*$L$3</f>
        <v>351.22318275359993</v>
      </c>
      <c r="H46">
        <v>664</v>
      </c>
      <c r="I46" s="13">
        <f t="shared" ref="I46:I80" si="104">E46*$L$4</f>
        <v>56.955110716799993</v>
      </c>
      <c r="J46">
        <v>88200</v>
      </c>
      <c r="K46" s="13">
        <v>0.46</v>
      </c>
      <c r="L46" s="14">
        <f t="shared" si="10"/>
        <v>-2203.50514306175</v>
      </c>
      <c r="N46" s="7">
        <f t="shared" si="11"/>
        <v>666.98958578737268</v>
      </c>
      <c r="O46" s="5">
        <f t="shared" si="12"/>
        <v>598.02866252640001</v>
      </c>
      <c r="P46">
        <v>88200</v>
      </c>
      <c r="Q46" s="5">
        <v>0.46400000000000002</v>
      </c>
      <c r="R46" s="5">
        <f t="shared" si="13"/>
        <v>27296.415400431069</v>
      </c>
      <c r="S46" s="5">
        <f t="shared" si="14"/>
        <v>309.48316780534094</v>
      </c>
      <c r="T46" s="5">
        <f t="shared" si="15"/>
        <v>277.48529941224962</v>
      </c>
      <c r="U46" s="6">
        <f t="shared" si="16"/>
        <v>25880.357371017428</v>
      </c>
      <c r="W46" s="9">
        <f t="shared" si="17"/>
        <v>25880.357371017428</v>
      </c>
      <c r="AA46" s="19">
        <v>0.12</v>
      </c>
      <c r="AB46">
        <v>0.36</v>
      </c>
      <c r="AC46" s="6">
        <f t="shared" si="39"/>
        <v>1278.7825908558675</v>
      </c>
      <c r="AD46" s="5"/>
      <c r="AE46" s="5"/>
      <c r="AF46" s="5"/>
      <c r="AG46" s="5"/>
      <c r="AH46" s="13">
        <v>0.02</v>
      </c>
      <c r="AJ46" s="3">
        <v>1.7999999999999999E-2</v>
      </c>
      <c r="AK46">
        <f t="shared" si="18"/>
        <v>4.9947353894204927</v>
      </c>
      <c r="AL46" s="6">
        <f t="shared" si="19"/>
        <v>491.3354772077592</v>
      </c>
      <c r="AO46" s="5">
        <f t="shared" si="93"/>
        <v>-8.0505167693991098</v>
      </c>
      <c r="AP46" s="5">
        <f t="shared" si="20"/>
        <v>5603.818659409575</v>
      </c>
      <c r="AQ46" s="5">
        <f t="shared" si="94"/>
        <v>-3161.6705264599418</v>
      </c>
      <c r="AR46" s="6">
        <f t="shared" si="95"/>
        <v>363203.59217114723</v>
      </c>
      <c r="AS46" s="5"/>
      <c r="AT46" s="5"/>
      <c r="AV46" s="3">
        <f t="shared" si="96"/>
        <v>29032.210007186084</v>
      </c>
      <c r="AW46" s="5">
        <f t="shared" si="97"/>
        <v>440.45285620991996</v>
      </c>
      <c r="AX46" s="5">
        <v>444.70636559819906</v>
      </c>
      <c r="AZ46">
        <f t="shared" si="24"/>
        <v>0</v>
      </c>
      <c r="BA46" s="5">
        <f t="shared" si="25"/>
        <v>9.8178902912855754</v>
      </c>
      <c r="BB46" s="5">
        <f t="shared" si="26"/>
        <v>9.8178902912855754</v>
      </c>
      <c r="CO46">
        <f t="shared" ref="CO46:DW46" si="105">IF((CO$8-$B46)&gt;0,_xlfn.LOGNORM.DIST((CO$8-$B46+1),$BD$2,$BD$3,TRUE)-_xlfn.LOGNORM.DIST((CO$8-$B46),$BD$2,$BD$3,TRUE),_xlfn.LOGNORM.DIST((CO$8-$B46+1),$BD$2,$BD$3,TRUE))*$AW46</f>
        <v>5.3571291324469765</v>
      </c>
      <c r="CP46">
        <f t="shared" si="105"/>
        <v>22.584849977883408</v>
      </c>
      <c r="CQ46">
        <f t="shared" si="105"/>
        <v>31.603165029315296</v>
      </c>
      <c r="CR46">
        <f t="shared" si="105"/>
        <v>33.625860898791281</v>
      </c>
      <c r="CS46">
        <f t="shared" si="105"/>
        <v>32.429339720657822</v>
      </c>
      <c r="CT46">
        <f t="shared" si="105"/>
        <v>29.956299771942987</v>
      </c>
      <c r="CU46">
        <f t="shared" si="105"/>
        <v>27.105102095870578</v>
      </c>
      <c r="CV46">
        <f t="shared" si="105"/>
        <v>24.277847832512528</v>
      </c>
      <c r="CW46">
        <f t="shared" si="105"/>
        <v>21.64405454659293</v>
      </c>
      <c r="CX46">
        <f t="shared" si="105"/>
        <v>19.263845266039485</v>
      </c>
      <c r="CY46">
        <f t="shared" si="105"/>
        <v>17.146336481730444</v>
      </c>
      <c r="CZ46">
        <f t="shared" si="105"/>
        <v>15.27780488656448</v>
      </c>
      <c r="DA46">
        <f t="shared" si="105"/>
        <v>13.635406334956908</v>
      </c>
      <c r="DB46">
        <f t="shared" si="105"/>
        <v>12.193823030459592</v>
      </c>
      <c r="DC46">
        <f t="shared" si="105"/>
        <v>10.928388408192447</v>
      </c>
      <c r="DD46">
        <f t="shared" si="105"/>
        <v>9.8164427552450082</v>
      </c>
      <c r="DE46">
        <f t="shared" si="105"/>
        <v>8.8378037271381125</v>
      </c>
      <c r="DF46">
        <f t="shared" si="105"/>
        <v>7.9748042719586847</v>
      </c>
      <c r="DG46">
        <f t="shared" si="105"/>
        <v>7.212131160994482</v>
      </c>
      <c r="DH46">
        <f t="shared" si="105"/>
        <v>6.5365839114030377</v>
      </c>
      <c r="DI46">
        <f t="shared" si="105"/>
        <v>5.9368145181862175</v>
      </c>
      <c r="DJ46">
        <f t="shared" si="105"/>
        <v>5.403077157033211</v>
      </c>
      <c r="DK46">
        <f t="shared" si="105"/>
        <v>4.9270006065604175</v>
      </c>
      <c r="DL46">
        <f t="shared" si="105"/>
        <v>4.5013876429696467</v>
      </c>
      <c r="DM46">
        <f t="shared" si="105"/>
        <v>4.1200414087964772</v>
      </c>
      <c r="DN46">
        <f t="shared" si="105"/>
        <v>3.7776167767304525</v>
      </c>
      <c r="DO46">
        <f t="shared" si="105"/>
        <v>3.4694939497891819</v>
      </c>
      <c r="DP46">
        <f t="shared" si="105"/>
        <v>3.1916713781238921</v>
      </c>
      <c r="DQ46">
        <f t="shared" si="105"/>
        <v>2.9406752138872738</v>
      </c>
      <c r="DR46">
        <f t="shared" si="105"/>
        <v>2.7134827983790388</v>
      </c>
      <c r="DS46">
        <f t="shared" si="105"/>
        <v>2.5074579901575724</v>
      </c>
      <c r="DT46">
        <f t="shared" si="105"/>
        <v>2.3202964533975061</v>
      </c>
      <c r="DU46">
        <f t="shared" si="105"/>
        <v>2.1499793112424528</v>
      </c>
      <c r="DV46">
        <f t="shared" si="105"/>
        <v>1.9947338210447765</v>
      </c>
      <c r="DW46" s="4">
        <f t="shared" si="105"/>
        <v>1.8529999458489486</v>
      </c>
      <c r="DZ46" s="8">
        <f t="shared" si="30"/>
        <v>580.64420014372172</v>
      </c>
      <c r="EB46" s="3">
        <f t="shared" si="31"/>
        <v>4094.4623100646604</v>
      </c>
      <c r="EF46" s="3">
        <f t="shared" si="32"/>
        <v>29523.545484393842</v>
      </c>
      <c r="EG46">
        <f t="shared" si="33"/>
        <v>0.86</v>
      </c>
      <c r="EH46">
        <f t="shared" si="34"/>
        <v>25390.249116578703</v>
      </c>
      <c r="EI46" s="4">
        <f>SUM($EH$10:EH46)</f>
        <v>1202815.2021116547</v>
      </c>
      <c r="EJ46" s="4">
        <f t="shared" si="42"/>
        <v>1202.8152021116546</v>
      </c>
      <c r="EN46" s="3">
        <f t="shared" si="35"/>
        <v>382.44747441445116</v>
      </c>
      <c r="EO46">
        <v>6.3726471067193478</v>
      </c>
      <c r="EP46">
        <f t="shared" si="36"/>
        <v>388.82012152117051</v>
      </c>
      <c r="EQ46">
        <f>SUM($EP$10:EP46)</f>
        <v>16669.430529677742</v>
      </c>
      <c r="ER46">
        <f t="shared" si="37"/>
        <v>398399389.659298</v>
      </c>
      <c r="ES46" s="4">
        <f t="shared" si="38"/>
        <v>237.02771687779938</v>
      </c>
    </row>
    <row r="47" spans="1:149" x14ac:dyDescent="0.25">
      <c r="A47" s="41"/>
      <c r="B47" s="39">
        <v>2027</v>
      </c>
      <c r="C47">
        <v>346045883</v>
      </c>
      <c r="D47" s="40">
        <f t="shared" si="6"/>
        <v>346.045883</v>
      </c>
      <c r="E47" s="12">
        <f t="shared" si="102"/>
        <v>955.08663707999995</v>
      </c>
      <c r="F47" s="5">
        <f t="shared" si="8"/>
        <v>439.3398530568</v>
      </c>
      <c r="G47" s="13">
        <f t="shared" si="103"/>
        <v>353.38205571959998</v>
      </c>
      <c r="H47">
        <v>664</v>
      </c>
      <c r="I47" s="13">
        <f>E47*$L$4</f>
        <v>57.305198224799994</v>
      </c>
      <c r="J47">
        <v>88200</v>
      </c>
      <c r="K47" s="13">
        <v>0.46</v>
      </c>
      <c r="L47" s="14">
        <f t="shared" si="10"/>
        <v>-2217.0494872775912</v>
      </c>
      <c r="N47" s="7">
        <f t="shared" si="11"/>
        <v>671.08938857963346</v>
      </c>
      <c r="O47" s="5">
        <f t="shared" si="12"/>
        <v>601.70458136039997</v>
      </c>
      <c r="P47">
        <v>88200</v>
      </c>
      <c r="Q47" s="5">
        <v>0.46400000000000002</v>
      </c>
      <c r="R47" s="5">
        <f t="shared" si="13"/>
        <v>27464.199009743785</v>
      </c>
      <c r="S47" s="5">
        <f t="shared" si="14"/>
        <v>311.38547630094996</v>
      </c>
      <c r="T47" s="5">
        <f t="shared" si="15"/>
        <v>279.19092575122562</v>
      </c>
      <c r="U47" s="6">
        <f t="shared" si="16"/>
        <v>26006.985412601243</v>
      </c>
      <c r="W47" s="9">
        <f t="shared" si="17"/>
        <v>26006.985412601243</v>
      </c>
      <c r="AA47" s="19">
        <v>0.12</v>
      </c>
      <c r="AB47">
        <v>0.36</v>
      </c>
      <c r="AC47" s="6">
        <f t="shared" si="39"/>
        <v>1254.1914723104387</v>
      </c>
      <c r="AD47" s="5"/>
      <c r="AE47" s="5"/>
      <c r="AF47" s="5"/>
      <c r="AG47" s="5"/>
      <c r="AH47" s="13">
        <v>0.02</v>
      </c>
      <c r="AJ47" s="3">
        <v>1.7999999999999999E-2</v>
      </c>
      <c r="AK47">
        <f t="shared" si="18"/>
        <v>5.0254366635220604</v>
      </c>
      <c r="AL47" s="6">
        <f t="shared" si="19"/>
        <v>494.35558217538812</v>
      </c>
      <c r="AO47" s="5">
        <f t="shared" si="93"/>
        <v>-3.2254807025796026</v>
      </c>
      <c r="AP47" s="5">
        <f t="shared" si="20"/>
        <v>5600.5931787069958</v>
      </c>
      <c r="AQ47" s="5">
        <f t="shared" si="94"/>
        <v>-2687.0739019743846</v>
      </c>
      <c r="AR47" s="6">
        <f t="shared" si="95"/>
        <v>360516.51826917287</v>
      </c>
      <c r="AS47" s="5"/>
      <c r="AT47" s="5"/>
      <c r="AV47" s="3">
        <f t="shared" si="96"/>
        <v>28684.247075326533</v>
      </c>
      <c r="AW47" s="5">
        <f t="shared" si="97"/>
        <v>443.16019960512</v>
      </c>
      <c r="AX47" s="5">
        <v>442.5653337593796</v>
      </c>
      <c r="AZ47">
        <f t="shared" si="24"/>
        <v>0</v>
      </c>
      <c r="BA47" s="5">
        <f t="shared" si="25"/>
        <v>9.8122392490946559</v>
      </c>
      <c r="BB47" s="5">
        <f t="shared" si="26"/>
        <v>9.8122392490946559</v>
      </c>
      <c r="CP47">
        <f t="shared" ref="CP47:DW47" si="106">IF((CP$8-$B47)&gt;0,_xlfn.LOGNORM.DIST((CP$8-$B47+1),$BD$2,$BD$3,TRUE)-_xlfn.LOGNORM.DIST((CP$8-$B47),$BD$2,$BD$3,TRUE),_xlfn.LOGNORM.DIST((CP$8-$B47+1),$BD$2,$BD$3,TRUE))*$AW47</f>
        <v>5.390057941897247</v>
      </c>
      <c r="CQ47">
        <f t="shared" si="106"/>
        <v>22.723672881531613</v>
      </c>
      <c r="CR47">
        <f t="shared" si="106"/>
        <v>31.797421052186344</v>
      </c>
      <c r="CS47">
        <f t="shared" si="106"/>
        <v>33.832549880662405</v>
      </c>
      <c r="CT47">
        <f t="shared" si="106"/>
        <v>32.628674013682762</v>
      </c>
      <c r="CU47">
        <f t="shared" si="106"/>
        <v>30.140432963926532</v>
      </c>
      <c r="CV47">
        <f t="shared" si="106"/>
        <v>27.271709754558351</v>
      </c>
      <c r="CW47">
        <f t="shared" si="106"/>
        <v>24.427077131522221</v>
      </c>
      <c r="CX47">
        <f t="shared" si="106"/>
        <v>21.777094637708018</v>
      </c>
      <c r="CY47">
        <f t="shared" si="106"/>
        <v>19.382254860873196</v>
      </c>
      <c r="CZ47">
        <f t="shared" si="106"/>
        <v>17.251730328475226</v>
      </c>
      <c r="DA47">
        <f t="shared" si="106"/>
        <v>15.37171337999262</v>
      </c>
      <c r="DB47">
        <f t="shared" si="106"/>
        <v>13.719219453117777</v>
      </c>
      <c r="DC47">
        <f t="shared" si="106"/>
        <v>12.268775129823478</v>
      </c>
      <c r="DD47">
        <f t="shared" si="106"/>
        <v>10.995562226593114</v>
      </c>
      <c r="DE47">
        <f t="shared" si="106"/>
        <v>9.876781747450579</v>
      </c>
      <c r="DF47">
        <f t="shared" si="106"/>
        <v>8.8921272925581043</v>
      </c>
      <c r="DG47">
        <f t="shared" si="106"/>
        <v>8.0238232154603484</v>
      </c>
      <c r="DH47">
        <f t="shared" si="106"/>
        <v>7.2564621612110605</v>
      </c>
      <c r="DI47">
        <f t="shared" si="106"/>
        <v>6.5767625072055216</v>
      </c>
      <c r="DJ47">
        <f t="shared" si="106"/>
        <v>5.9733064953586368</v>
      </c>
      <c r="DK47">
        <f t="shared" si="106"/>
        <v>5.4362883964396786</v>
      </c>
      <c r="DL47">
        <f t="shared" si="106"/>
        <v>4.9572855334538435</v>
      </c>
      <c r="DM47">
        <f t="shared" si="106"/>
        <v>4.52905644323421</v>
      </c>
      <c r="DN47">
        <f t="shared" si="106"/>
        <v>4.1453661779262285</v>
      </c>
      <c r="DO47">
        <f t="shared" si="106"/>
        <v>3.800836755181912</v>
      </c>
      <c r="DP47">
        <f t="shared" si="106"/>
        <v>3.4908199813887397</v>
      </c>
      <c r="DQ47">
        <f t="shared" si="106"/>
        <v>3.2112897102640621</v>
      </c>
      <c r="DR47">
        <f t="shared" si="106"/>
        <v>2.9587507411667513</v>
      </c>
      <c r="DS47">
        <f t="shared" si="106"/>
        <v>2.7301618359391431</v>
      </c>
      <c r="DT47">
        <f t="shared" si="106"/>
        <v>2.5228706494982562</v>
      </c>
      <c r="DU47">
        <f t="shared" si="106"/>
        <v>2.334558681895845</v>
      </c>
      <c r="DV47">
        <f t="shared" si="106"/>
        <v>2.1631946467909522</v>
      </c>
      <c r="DW47" s="4">
        <f t="shared" si="106"/>
        <v>2.0069949049711204</v>
      </c>
      <c r="DZ47" s="8">
        <f t="shared" si="30"/>
        <v>573.68494150653066</v>
      </c>
      <c r="EB47" s="3">
        <f t="shared" si="31"/>
        <v>4119.6298514615673</v>
      </c>
      <c r="EF47" s="3">
        <f t="shared" si="32"/>
        <v>29178.60265750192</v>
      </c>
      <c r="EG47">
        <f t="shared" si="33"/>
        <v>0.86</v>
      </c>
      <c r="EH47">
        <f t="shared" si="34"/>
        <v>25093.598285451651</v>
      </c>
      <c r="EI47" s="4">
        <f>SUM($EH$10:EH47)</f>
        <v>1227908.8003971064</v>
      </c>
      <c r="EJ47" s="4">
        <f t="shared" si="42"/>
        <v>1227.9088003971065</v>
      </c>
      <c r="EN47" s="3">
        <f t="shared" si="35"/>
        <v>380.60618703306648</v>
      </c>
      <c r="EO47">
        <v>6.4136873731424355</v>
      </c>
      <c r="EP47">
        <f t="shared" si="36"/>
        <v>387.01987440620888</v>
      </c>
      <c r="EQ47">
        <f>SUM($EP$10:EP47)</f>
        <v>17056.450404083949</v>
      </c>
      <c r="ER47">
        <f t="shared" si="37"/>
        <v>407649164.65760636</v>
      </c>
      <c r="ES47" s="4">
        <f t="shared" si="38"/>
        <v>242.53087051304288</v>
      </c>
    </row>
    <row r="48" spans="1:149" x14ac:dyDescent="0.25">
      <c r="A48" s="41"/>
      <c r="B48" s="39">
        <v>2028</v>
      </c>
      <c r="C48">
        <v>348123285</v>
      </c>
      <c r="D48" s="40">
        <f t="shared" si="6"/>
        <v>348.12328500000001</v>
      </c>
      <c r="E48" s="12">
        <f t="shared" si="102"/>
        <v>960.82026659999997</v>
      </c>
      <c r="F48" s="5">
        <f t="shared" si="8"/>
        <v>441.977322636</v>
      </c>
      <c r="G48" s="13">
        <f t="shared" si="103"/>
        <v>355.50349864200001</v>
      </c>
      <c r="H48">
        <v>664</v>
      </c>
      <c r="I48" s="13">
        <f t="shared" si="104"/>
        <v>57.649215995999995</v>
      </c>
      <c r="J48">
        <v>88200</v>
      </c>
      <c r="K48" s="13">
        <v>0.46</v>
      </c>
      <c r="L48" s="14">
        <f t="shared" si="10"/>
        <v>-2230.3590027644991</v>
      </c>
      <c r="N48" s="7">
        <f t="shared" si="11"/>
        <v>675.11810993279005</v>
      </c>
      <c r="O48" s="5">
        <f t="shared" si="12"/>
        <v>605.3167679579999</v>
      </c>
      <c r="P48">
        <v>88200</v>
      </c>
      <c r="Q48" s="5">
        <v>0.46400000000000002</v>
      </c>
      <c r="R48" s="5">
        <f t="shared" si="13"/>
        <v>27629.073625377445</v>
      </c>
      <c r="S48" s="5">
        <f t="shared" si="14"/>
        <v>313.25480300881458</v>
      </c>
      <c r="T48" s="5">
        <f t="shared" si="15"/>
        <v>280.86698033251196</v>
      </c>
      <c r="U48" s="6">
        <f t="shared" si="16"/>
        <v>26140.550771010254</v>
      </c>
      <c r="W48" s="9">
        <f t="shared" si="17"/>
        <v>26140.550771010254</v>
      </c>
      <c r="AA48" s="19">
        <v>0.12</v>
      </c>
      <c r="AB48">
        <v>0.36</v>
      </c>
      <c r="AC48" s="6">
        <f t="shared" si="39"/>
        <v>1239.159473654106</v>
      </c>
      <c r="AD48" s="5"/>
      <c r="AE48" s="5"/>
      <c r="AF48" s="5"/>
      <c r="AG48" s="5"/>
      <c r="AH48" s="13">
        <v>0.02</v>
      </c>
      <c r="AJ48" s="3">
        <v>1.7999999999999999E-2</v>
      </c>
      <c r="AK48">
        <f t="shared" si="18"/>
        <v>5.0556056459852146</v>
      </c>
      <c r="AL48" s="6">
        <f t="shared" si="19"/>
        <v>497.32332525679396</v>
      </c>
      <c r="AO48" s="5">
        <f t="shared" si="93"/>
        <v>0.36672164176530941</v>
      </c>
      <c r="AP48" s="5">
        <f t="shared" si="20"/>
        <v>5600.959900348761</v>
      </c>
      <c r="AQ48" s="5">
        <f t="shared" si="94"/>
        <v>-2296.2360438703276</v>
      </c>
      <c r="AR48" s="6">
        <f t="shared" si="95"/>
        <v>358220.28222530254</v>
      </c>
      <c r="AS48" s="5"/>
      <c r="AT48" s="5"/>
      <c r="AV48" s="3">
        <f t="shared" si="96"/>
        <v>28426.97393313517</v>
      </c>
      <c r="AW48" s="5">
        <f t="shared" si="97"/>
        <v>445.82060370240004</v>
      </c>
      <c r="AX48" s="5">
        <v>441.61060099423469</v>
      </c>
      <c r="AZ48">
        <f t="shared" si="24"/>
        <v>0</v>
      </c>
      <c r="BA48" s="5">
        <f t="shared" si="25"/>
        <v>9.812881745411028</v>
      </c>
      <c r="BB48" s="5">
        <f t="shared" si="26"/>
        <v>9.812881745411028</v>
      </c>
      <c r="CQ48">
        <f t="shared" ref="CQ48:DW48" si="107">IF((CQ$8-$B48)&gt;0,_xlfn.LOGNORM.DIST((CQ$8-$B48+1),$BD$2,$BD$3,TRUE)-_xlfn.LOGNORM.DIST((CQ$8-$B48),$BD$2,$BD$3,TRUE),_xlfn.LOGNORM.DIST((CQ$8-$B48+1),$BD$2,$BD$3,TRUE))*$AW48</f>
        <v>5.4224158392128858</v>
      </c>
      <c r="CR48">
        <f t="shared" si="107"/>
        <v>22.860088905563433</v>
      </c>
      <c r="CS48">
        <f t="shared" si="107"/>
        <v>31.988309108752691</v>
      </c>
      <c r="CT48">
        <f t="shared" si="107"/>
        <v>34.035655336441486</v>
      </c>
      <c r="CU48">
        <f t="shared" si="107"/>
        <v>32.824552294521531</v>
      </c>
      <c r="CV48">
        <f t="shared" si="107"/>
        <v>30.321373696922127</v>
      </c>
      <c r="CW48">
        <f t="shared" si="107"/>
        <v>27.435428807928915</v>
      </c>
      <c r="CX48">
        <f t="shared" si="107"/>
        <v>24.573719127223061</v>
      </c>
      <c r="CY48">
        <f t="shared" si="107"/>
        <v>21.907828110282129</v>
      </c>
      <c r="CZ48">
        <f t="shared" si="107"/>
        <v>19.498611497349891</v>
      </c>
      <c r="DA48">
        <f t="shared" si="107"/>
        <v>17.355296880913695</v>
      </c>
      <c r="DB48">
        <f t="shared" si="107"/>
        <v>15.46399370953211</v>
      </c>
      <c r="DC48">
        <f t="shared" si="107"/>
        <v>13.801579438687513</v>
      </c>
      <c r="DD48">
        <f t="shared" si="107"/>
        <v>12.34242772690479</v>
      </c>
      <c r="DE48">
        <f t="shared" si="107"/>
        <v>11.061571400759908</v>
      </c>
      <c r="DF48">
        <f t="shared" si="107"/>
        <v>9.9360745960689165</v>
      </c>
      <c r="DG48">
        <f t="shared" si="107"/>
        <v>8.9455090084787496</v>
      </c>
      <c r="DH48">
        <f t="shared" si="107"/>
        <v>8.0719922797790353</v>
      </c>
      <c r="DI48">
        <f t="shared" si="107"/>
        <v>7.3000245607285388</v>
      </c>
      <c r="DJ48">
        <f t="shared" si="107"/>
        <v>6.616244495742845</v>
      </c>
      <c r="DK48">
        <f t="shared" si="107"/>
        <v>6.0091657830129019</v>
      </c>
      <c r="DL48">
        <f t="shared" si="107"/>
        <v>5.4689238270058063</v>
      </c>
      <c r="DM48">
        <f t="shared" si="107"/>
        <v>4.9870453872411176</v>
      </c>
      <c r="DN48">
        <f t="shared" si="107"/>
        <v>4.5562455281952001</v>
      </c>
      <c r="DO48">
        <f t="shared" si="107"/>
        <v>4.1702518720258075</v>
      </c>
      <c r="DP48">
        <f t="shared" si="107"/>
        <v>3.8236541509805164</v>
      </c>
      <c r="DQ48">
        <f t="shared" si="107"/>
        <v>3.5117762671509287</v>
      </c>
      <c r="DR48">
        <f t="shared" si="107"/>
        <v>3.2305679042678386</v>
      </c>
      <c r="DS48">
        <f t="shared" si="107"/>
        <v>2.9765128791061337</v>
      </c>
      <c r="DT48">
        <f t="shared" si="107"/>
        <v>2.7465516961771388</v>
      </c>
      <c r="DU48">
        <f t="shared" si="107"/>
        <v>2.5380160876915174</v>
      </c>
      <c r="DV48">
        <f t="shared" si="107"/>
        <v>2.3485736351524564</v>
      </c>
      <c r="DW48" s="4">
        <f t="shared" si="107"/>
        <v>2.1761808578872213</v>
      </c>
      <c r="DZ48" s="8">
        <f t="shared" si="30"/>
        <v>568.53947866270346</v>
      </c>
      <c r="EB48" s="3">
        <f t="shared" si="31"/>
        <v>4144.3610438066162</v>
      </c>
      <c r="EF48" s="3">
        <f t="shared" si="32"/>
        <v>28924.297258391965</v>
      </c>
      <c r="EG48">
        <f t="shared" si="33"/>
        <v>0.86</v>
      </c>
      <c r="EH48">
        <f t="shared" si="34"/>
        <v>24874.895642217089</v>
      </c>
      <c r="EI48" s="4">
        <f>SUM($EH$10:EH48)</f>
        <v>1252783.6960393235</v>
      </c>
      <c r="EJ48" s="4">
        <f t="shared" si="42"/>
        <v>1252.7836960393236</v>
      </c>
      <c r="EN48" s="3">
        <f t="shared" si="35"/>
        <v>379.78511685504185</v>
      </c>
      <c r="EO48">
        <v>6.4543412054343845</v>
      </c>
      <c r="EP48">
        <f t="shared" si="36"/>
        <v>386.23945806047624</v>
      </c>
      <c r="EQ48">
        <f>SUM($EP$10:EP48)</f>
        <v>17442.689862144427</v>
      </c>
      <c r="ER48">
        <f t="shared" si="37"/>
        <v>416880287.70525175</v>
      </c>
      <c r="ES48" s="4">
        <f t="shared" si="38"/>
        <v>248.02292717023951</v>
      </c>
    </row>
    <row r="49" spans="1:149" x14ac:dyDescent="0.25">
      <c r="A49" s="41"/>
      <c r="B49" s="39">
        <v>2029</v>
      </c>
      <c r="C49">
        <v>350160072</v>
      </c>
      <c r="D49" s="40">
        <f t="shared" si="6"/>
        <v>350.16007200000001</v>
      </c>
      <c r="E49" s="12">
        <f t="shared" si="102"/>
        <v>966.44179871999995</v>
      </c>
      <c r="F49" s="5">
        <f t="shared" si="8"/>
        <v>444.56322741119999</v>
      </c>
      <c r="G49" s="13">
        <f t="shared" si="103"/>
        <v>357.5834655264</v>
      </c>
      <c r="H49">
        <v>664</v>
      </c>
      <c r="I49" s="13">
        <f t="shared" si="104"/>
        <v>57.986507923199994</v>
      </c>
      <c r="J49">
        <v>88200</v>
      </c>
      <c r="K49" s="13">
        <v>0.46</v>
      </c>
      <c r="L49" s="14">
        <f t="shared" si="10"/>
        <v>-2243.4083057496864</v>
      </c>
      <c r="N49" s="7">
        <f t="shared" si="11"/>
        <v>679.06806631038683</v>
      </c>
      <c r="O49" s="5">
        <f t="shared" si="12"/>
        <v>608.85833319359995</v>
      </c>
      <c r="P49">
        <v>88200</v>
      </c>
      <c r="Q49" s="5">
        <v>0.46400000000000002</v>
      </c>
      <c r="R49" s="5">
        <f t="shared" si="13"/>
        <v>27790.72480013932</v>
      </c>
      <c r="S49" s="5">
        <f t="shared" si="14"/>
        <v>315.0875827680195</v>
      </c>
      <c r="T49" s="5">
        <f t="shared" si="15"/>
        <v>282.51026660183038</v>
      </c>
      <c r="U49" s="6">
        <f t="shared" si="16"/>
        <v>26275.128721898567</v>
      </c>
      <c r="W49" s="9">
        <f t="shared" si="17"/>
        <v>26275.128721898567</v>
      </c>
      <c r="AA49" s="19">
        <v>0.12</v>
      </c>
      <c r="AB49">
        <v>0.36</v>
      </c>
      <c r="AC49" s="6">
        <f t="shared" si="39"/>
        <v>1228.0452739114392</v>
      </c>
      <c r="AD49" s="5"/>
      <c r="AE49" s="5"/>
      <c r="AF49" s="5"/>
      <c r="AG49" s="5"/>
      <c r="AH49" s="13">
        <v>0.02</v>
      </c>
      <c r="AJ49" s="3">
        <v>1.7999999999999999E-2</v>
      </c>
      <c r="AK49">
        <f t="shared" si="18"/>
        <v>5.0851847988329464</v>
      </c>
      <c r="AL49" s="6">
        <f t="shared" si="19"/>
        <v>500.23304640250768</v>
      </c>
      <c r="AO49" s="5">
        <f t="shared" si="93"/>
        <v>3.1944001852237989</v>
      </c>
      <c r="AP49" s="5">
        <f t="shared" si="20"/>
        <v>5604.1543005339845</v>
      </c>
      <c r="AQ49" s="5">
        <f t="shared" si="94"/>
        <v>-1963.2914010388818</v>
      </c>
      <c r="AR49" s="6">
        <f t="shared" si="95"/>
        <v>356256.99082426366</v>
      </c>
      <c r="AS49" s="5"/>
      <c r="AT49" s="5"/>
      <c r="AV49" s="3">
        <f t="shared" si="96"/>
        <v>28228.601644602913</v>
      </c>
      <c r="AW49" s="5">
        <f t="shared" si="97"/>
        <v>448.42899460607998</v>
      </c>
      <c r="AX49" s="5">
        <v>441.36882722597619</v>
      </c>
      <c r="AZ49">
        <f t="shared" si="24"/>
        <v>0</v>
      </c>
      <c r="BA49" s="5">
        <f t="shared" si="25"/>
        <v>9.8184783345355413</v>
      </c>
      <c r="BB49" s="5">
        <f t="shared" si="26"/>
        <v>9.8184783345355413</v>
      </c>
      <c r="CR49">
        <f t="shared" ref="CR49:DW49" si="108">IF((CR$8-$B49)&gt;0,_xlfn.LOGNORM.DIST((CR$8-$B49+1),$BD$2,$BD$3,TRUE)-_xlfn.LOGNORM.DIST((CR$8-$B49),$BD$2,$BD$3,TRUE),_xlfn.LOGNORM.DIST((CR$8-$B49+1),$BD$2,$BD$3,TRUE))*$AW49</f>
        <v>5.4541411117406993</v>
      </c>
      <c r="CS49">
        <f t="shared" si="108"/>
        <v>22.993837878723028</v>
      </c>
      <c r="CT49">
        <f t="shared" si="108"/>
        <v>32.175465139251159</v>
      </c>
      <c r="CU49">
        <f t="shared" si="108"/>
        <v>34.234789905465625</v>
      </c>
      <c r="CV49">
        <f t="shared" si="108"/>
        <v>33.016600986105892</v>
      </c>
      <c r="CW49">
        <f t="shared" si="108"/>
        <v>30.49877688260111</v>
      </c>
      <c r="CX49">
        <f t="shared" si="108"/>
        <v>27.595947012666105</v>
      </c>
      <c r="CY49">
        <f t="shared" si="108"/>
        <v>24.717494145489876</v>
      </c>
      <c r="CZ49">
        <f t="shared" si="108"/>
        <v>22.036005630763864</v>
      </c>
      <c r="DA49">
        <f t="shared" si="108"/>
        <v>19.612693261273993</v>
      </c>
      <c r="DB49">
        <f t="shared" si="108"/>
        <v>17.456838617968671</v>
      </c>
      <c r="DC49">
        <f t="shared" si="108"/>
        <v>15.554469879075484</v>
      </c>
      <c r="DD49">
        <f t="shared" si="108"/>
        <v>13.882329215537933</v>
      </c>
      <c r="DE49">
        <f t="shared" si="108"/>
        <v>12.414640352218258</v>
      </c>
      <c r="DF49">
        <f t="shared" si="108"/>
        <v>11.126290038666129</v>
      </c>
      <c r="DG49">
        <f t="shared" si="108"/>
        <v>9.9942082183812033</v>
      </c>
      <c r="DH49">
        <f t="shared" si="108"/>
        <v>8.9978470658334953</v>
      </c>
      <c r="DI49">
        <f t="shared" si="108"/>
        <v>8.1192195973643972</v>
      </c>
      <c r="DJ49">
        <f t="shared" si="108"/>
        <v>7.3427352777808963</v>
      </c>
      <c r="DK49">
        <f t="shared" si="108"/>
        <v>6.6549545773673771</v>
      </c>
      <c r="DL49">
        <f t="shared" si="108"/>
        <v>6.0443239906797208</v>
      </c>
      <c r="DM49">
        <f t="shared" si="108"/>
        <v>5.5009212067698039</v>
      </c>
      <c r="DN49">
        <f t="shared" si="108"/>
        <v>5.0162234102312846</v>
      </c>
      <c r="DO49">
        <f t="shared" si="108"/>
        <v>4.5829030431058619</v>
      </c>
      <c r="DP49">
        <f t="shared" si="108"/>
        <v>4.1946510293521193</v>
      </c>
      <c r="DQ49">
        <f t="shared" si="108"/>
        <v>3.8460254470206907</v>
      </c>
      <c r="DR49">
        <f t="shared" si="108"/>
        <v>3.5323228394603374</v>
      </c>
      <c r="DS49">
        <f t="shared" si="108"/>
        <v>3.2494691929593715</v>
      </c>
      <c r="DT49">
        <f t="shared" si="108"/>
        <v>2.9939277519363028</v>
      </c>
      <c r="DU49">
        <f t="shared" si="108"/>
        <v>2.7626211205180051</v>
      </c>
      <c r="DV49">
        <f t="shared" si="108"/>
        <v>2.552865419511424</v>
      </c>
      <c r="DW49" s="4">
        <f t="shared" si="108"/>
        <v>2.3623145839908002</v>
      </c>
      <c r="DZ49" s="8">
        <f t="shared" si="30"/>
        <v>564.57203289205825</v>
      </c>
      <c r="EB49" s="3">
        <f t="shared" si="31"/>
        <v>4168.6087200208976</v>
      </c>
      <c r="EF49" s="3">
        <f t="shared" si="32"/>
        <v>28728.834691005421</v>
      </c>
      <c r="EG49">
        <f t="shared" si="33"/>
        <v>0.86</v>
      </c>
      <c r="EH49">
        <f t="shared" si="34"/>
        <v>24706.79783426466</v>
      </c>
      <c r="EI49" s="4">
        <f>SUM($EH$10:EH49)</f>
        <v>1277490.493873588</v>
      </c>
      <c r="EJ49" s="4">
        <f t="shared" si="42"/>
        <v>1277.4904938735881</v>
      </c>
      <c r="EN49" s="3">
        <f t="shared" si="35"/>
        <v>379.5771914143395</v>
      </c>
      <c r="EO49">
        <v>6.4945022697777066</v>
      </c>
      <c r="EP49">
        <f t="shared" si="36"/>
        <v>386.07169368411718</v>
      </c>
      <c r="EQ49">
        <f>SUM($EP$10:EP49)</f>
        <v>17828.761555828543</v>
      </c>
      <c r="ER49">
        <f t="shared" si="37"/>
        <v>426107401.18430215</v>
      </c>
      <c r="ES49" s="4">
        <f t="shared" si="38"/>
        <v>253.5125983346006</v>
      </c>
    </row>
    <row r="50" spans="1:149" x14ac:dyDescent="0.25">
      <c r="A50" s="41"/>
      <c r="B50" s="39">
        <v>2030</v>
      </c>
      <c r="C50">
        <v>352152617</v>
      </c>
      <c r="D50" s="40">
        <f t="shared" si="6"/>
        <v>352.15261700000002</v>
      </c>
      <c r="E50" s="12">
        <f t="shared" si="102"/>
        <v>971.94122291999997</v>
      </c>
      <c r="F50" s="5">
        <f t="shared" si="8"/>
        <v>447.09296254320003</v>
      </c>
      <c r="G50" s="13">
        <f t="shared" si="103"/>
        <v>359.61825248039997</v>
      </c>
      <c r="H50">
        <v>664</v>
      </c>
      <c r="I50" s="13">
        <f t="shared" si="104"/>
        <v>58.316473375199998</v>
      </c>
      <c r="J50">
        <v>88200</v>
      </c>
      <c r="K50" s="13">
        <v>0.46</v>
      </c>
      <c r="L50" s="14">
        <f t="shared" si="10"/>
        <v>-2256.1741587410011</v>
      </c>
      <c r="N50" s="7">
        <f t="shared" si="11"/>
        <v>682.93222384399178</v>
      </c>
      <c r="O50" s="5">
        <f t="shared" si="12"/>
        <v>612.3229704396</v>
      </c>
      <c r="P50">
        <v>88200</v>
      </c>
      <c r="Q50" s="5">
        <v>0.46400000000000002</v>
      </c>
      <c r="R50" s="5">
        <f t="shared" si="13"/>
        <v>27948.864674370598</v>
      </c>
      <c r="S50" s="5">
        <f t="shared" si="14"/>
        <v>316.8805518636122</v>
      </c>
      <c r="T50" s="5">
        <f t="shared" si="15"/>
        <v>284.11785828397444</v>
      </c>
      <c r="U50" s="6">
        <f t="shared" si="16"/>
        <v>26409.086542537771</v>
      </c>
      <c r="W50" s="9">
        <f t="shared" si="17"/>
        <v>26409.086542537771</v>
      </c>
      <c r="AA50" s="19">
        <v>0.12</v>
      </c>
      <c r="AB50">
        <v>0.36</v>
      </c>
      <c r="AC50" s="6">
        <f t="shared" si="39"/>
        <v>1219.4755910468459</v>
      </c>
      <c r="AD50" s="5"/>
      <c r="AE50" s="5"/>
      <c r="AF50" s="5"/>
      <c r="AG50" s="5"/>
      <c r="AH50" s="13">
        <v>0.02</v>
      </c>
      <c r="AJ50" s="3">
        <v>1.7999999999999999E-2</v>
      </c>
      <c r="AK50">
        <f t="shared" si="18"/>
        <v>5.1141214491115399</v>
      </c>
      <c r="AL50" s="6">
        <f t="shared" si="19"/>
        <v>503.07956413867072</v>
      </c>
      <c r="AO50" s="5">
        <f t="shared" si="93"/>
        <v>5.5127371762013126</v>
      </c>
      <c r="AP50" s="5">
        <f t="shared" si="20"/>
        <v>5609.6670377101855</v>
      </c>
      <c r="AQ50" s="5">
        <f t="shared" si="94"/>
        <v>-1672.0675891437872</v>
      </c>
      <c r="AR50" s="6">
        <f t="shared" si="95"/>
        <v>354584.92323511984</v>
      </c>
      <c r="AS50" s="5"/>
      <c r="AT50" s="5"/>
      <c r="AV50" s="3">
        <f t="shared" si="96"/>
        <v>28071.32599503149</v>
      </c>
      <c r="AW50" s="5">
        <f t="shared" si="97"/>
        <v>450.98072743488001</v>
      </c>
      <c r="AX50" s="5">
        <v>441.58022536699872</v>
      </c>
      <c r="AZ50">
        <f t="shared" si="24"/>
        <v>0</v>
      </c>
      <c r="BA50" s="5">
        <f t="shared" si="25"/>
        <v>9.8281366500682452</v>
      </c>
      <c r="BB50" s="5">
        <f t="shared" si="26"/>
        <v>9.8281366500682452</v>
      </c>
      <c r="CS50">
        <f t="shared" ref="CS50:DW50" si="109">IF((CS$8-$B50)&gt;0,_xlfn.LOGNORM.DIST((CS$8-$B50+1),$BD$2,$BD$3,TRUE)-_xlfn.LOGNORM.DIST((CS$8-$B50),$BD$2,$BD$3,TRUE),_xlfn.LOGNORM.DIST((CS$8-$B50+1),$BD$2,$BD$3,TRUE))*$AW50</f>
        <v>5.4851772648332577</v>
      </c>
      <c r="CT50">
        <f t="shared" si="109"/>
        <v>23.124681628081351</v>
      </c>
      <c r="CU50">
        <f t="shared" si="109"/>
        <v>32.358555866356937</v>
      </c>
      <c r="CV50">
        <f t="shared" si="109"/>
        <v>34.429598979677223</v>
      </c>
      <c r="CW50">
        <f t="shared" si="109"/>
        <v>33.204478098525101</v>
      </c>
      <c r="CX50">
        <f t="shared" si="109"/>
        <v>30.672326610976601</v>
      </c>
      <c r="CY50">
        <f t="shared" si="109"/>
        <v>27.752978526642814</v>
      </c>
      <c r="CZ50">
        <f t="shared" si="109"/>
        <v>24.858146159555393</v>
      </c>
      <c r="DA50">
        <f t="shared" si="109"/>
        <v>22.161398947565417</v>
      </c>
      <c r="DB50">
        <f t="shared" si="109"/>
        <v>19.7242970020177</v>
      </c>
      <c r="DC50">
        <f t="shared" si="109"/>
        <v>17.556174719613182</v>
      </c>
      <c r="DD50">
        <f t="shared" si="109"/>
        <v>15.642980773559202</v>
      </c>
      <c r="DE50">
        <f t="shared" si="109"/>
        <v>13.961324988838935</v>
      </c>
      <c r="DF50">
        <f t="shared" si="109"/>
        <v>12.485284413430957</v>
      </c>
      <c r="DG50">
        <f t="shared" si="109"/>
        <v>11.189602892865835</v>
      </c>
      <c r="DH50">
        <f t="shared" si="109"/>
        <v>10.0510790931807</v>
      </c>
      <c r="DI50">
        <f t="shared" si="109"/>
        <v>9.0490482638438472</v>
      </c>
      <c r="DJ50">
        <f t="shared" si="109"/>
        <v>8.1654210683665802</v>
      </c>
      <c r="DK50">
        <f t="shared" si="109"/>
        <v>7.3845182554359443</v>
      </c>
      <c r="DL50">
        <f t="shared" si="109"/>
        <v>6.6928238192618688</v>
      </c>
      <c r="DM50">
        <f t="shared" si="109"/>
        <v>6.0787185105266586</v>
      </c>
      <c r="DN50">
        <f t="shared" si="109"/>
        <v>5.5322235565304103</v>
      </c>
      <c r="DO50">
        <f t="shared" si="109"/>
        <v>5.0447676437809612</v>
      </c>
      <c r="DP50">
        <f t="shared" si="109"/>
        <v>4.6089815177071163</v>
      </c>
      <c r="DQ50">
        <f t="shared" si="109"/>
        <v>4.218520201206986</v>
      </c>
      <c r="DR50">
        <f t="shared" si="109"/>
        <v>3.867910805709827</v>
      </c>
      <c r="DS50">
        <f t="shared" si="109"/>
        <v>3.5524231100935713</v>
      </c>
      <c r="DT50">
        <f t="shared" si="109"/>
        <v>3.2679599179472429</v>
      </c>
      <c r="DU50">
        <f t="shared" si="109"/>
        <v>3.0109643481947193</v>
      </c>
      <c r="DV50">
        <f t="shared" si="109"/>
        <v>2.778341493401018</v>
      </c>
      <c r="DW50" s="4">
        <f t="shared" si="109"/>
        <v>2.5673922020719453</v>
      </c>
      <c r="DZ50" s="8">
        <f t="shared" si="30"/>
        <v>561.42651990062984</v>
      </c>
      <c r="EB50" s="3">
        <f t="shared" si="31"/>
        <v>4192.3297011555896</v>
      </c>
      <c r="EF50" s="3">
        <f t="shared" si="32"/>
        <v>28574.405559170162</v>
      </c>
      <c r="EG50">
        <f t="shared" si="33"/>
        <v>0.86</v>
      </c>
      <c r="EH50">
        <f t="shared" si="34"/>
        <v>24573.988780886339</v>
      </c>
      <c r="EI50" s="4">
        <f>SUM($EH$10:EH50)</f>
        <v>1302064.4826544744</v>
      </c>
      <c r="EJ50" s="4">
        <f t="shared" si="42"/>
        <v>1302.0644826544744</v>
      </c>
      <c r="EN50" s="3">
        <f t="shared" si="35"/>
        <v>379.75899381561891</v>
      </c>
      <c r="EO50">
        <v>6.5343142574505366</v>
      </c>
      <c r="EP50">
        <f t="shared" si="36"/>
        <v>386.29330807306945</v>
      </c>
      <c r="EQ50">
        <f>SUM($EP$10:EP50)</f>
        <v>18215.054863901612</v>
      </c>
      <c r="ER50">
        <f t="shared" si="37"/>
        <v>435339811.24724847</v>
      </c>
      <c r="ES50" s="4">
        <f t="shared" si="38"/>
        <v>259.00542070155046</v>
      </c>
    </row>
    <row r="51" spans="1:149" x14ac:dyDescent="0.25">
      <c r="A51" s="41"/>
      <c r="B51" s="39">
        <v>2031</v>
      </c>
      <c r="C51">
        <v>354097809</v>
      </c>
      <c r="D51" s="40">
        <f t="shared" si="6"/>
        <v>354.09780899999998</v>
      </c>
      <c r="E51" s="12">
        <f t="shared" si="102"/>
        <v>977.30995283999982</v>
      </c>
      <c r="F51" s="5">
        <f t="shared" si="8"/>
        <v>449.56257830639993</v>
      </c>
      <c r="G51" s="13">
        <f t="shared" si="103"/>
        <v>361.60468255079991</v>
      </c>
      <c r="H51">
        <v>664</v>
      </c>
      <c r="I51" s="13">
        <f t="shared" si="104"/>
        <v>58.63859717039999</v>
      </c>
      <c r="J51">
        <v>88200</v>
      </c>
      <c r="K51" s="13">
        <v>0.46</v>
      </c>
      <c r="L51" s="14">
        <f t="shared" si="10"/>
        <v>-2268.636630159152</v>
      </c>
      <c r="N51" s="7">
        <f t="shared" si="11"/>
        <v>686.70454934786142</v>
      </c>
      <c r="O51" s="5">
        <f t="shared" si="12"/>
        <v>615.70527028919992</v>
      </c>
      <c r="P51">
        <v>88200</v>
      </c>
      <c r="Q51" s="5">
        <v>0.46400000000000002</v>
      </c>
      <c r="R51" s="5">
        <f t="shared" si="13"/>
        <v>28103.24634115136</v>
      </c>
      <c r="S51" s="5">
        <f t="shared" si="14"/>
        <v>318.63091089740772</v>
      </c>
      <c r="T51" s="5">
        <f t="shared" si="15"/>
        <v>285.68724541418879</v>
      </c>
      <c r="U51" s="6">
        <f t="shared" si="16"/>
        <v>26541.432559836841</v>
      </c>
      <c r="W51" s="9">
        <f t="shared" si="17"/>
        <v>26541.432559836841</v>
      </c>
      <c r="AA51" s="19">
        <v>0.12</v>
      </c>
      <c r="AB51">
        <v>0.36</v>
      </c>
      <c r="AC51" s="6">
        <f t="shared" si="39"/>
        <v>1212.6812829853604</v>
      </c>
      <c r="AD51" s="5"/>
      <c r="AE51" s="5"/>
      <c r="AF51" s="5"/>
      <c r="AG51" s="5"/>
      <c r="AH51" s="13">
        <v>0.02</v>
      </c>
      <c r="AJ51" s="3">
        <v>1.7999999999999999E-2</v>
      </c>
      <c r="AK51">
        <f t="shared" si="18"/>
        <v>5.1423704174553979</v>
      </c>
      <c r="AL51" s="6">
        <f t="shared" si="19"/>
        <v>505.8584341407244</v>
      </c>
      <c r="AO51" s="5">
        <f t="shared" si="93"/>
        <v>7.4579957469204032</v>
      </c>
      <c r="AP51" s="5">
        <f t="shared" si="20"/>
        <v>5617.1250334571059</v>
      </c>
      <c r="AQ51" s="5">
        <f t="shared" si="94"/>
        <v>-1413.6714217301469</v>
      </c>
      <c r="AR51" s="6">
        <f t="shared" si="95"/>
        <v>353171.25181338971</v>
      </c>
      <c r="AS51" s="5"/>
      <c r="AT51" s="5"/>
      <c r="AV51" s="3">
        <f t="shared" si="96"/>
        <v>27945.262778508371</v>
      </c>
      <c r="AW51" s="5">
        <f t="shared" si="97"/>
        <v>453.47181811775994</v>
      </c>
      <c r="AX51" s="5">
        <v>442.10458255947952</v>
      </c>
      <c r="AZ51">
        <f t="shared" si="24"/>
        <v>0</v>
      </c>
      <c r="BA51" s="5">
        <f t="shared" si="25"/>
        <v>9.8412030586168502</v>
      </c>
      <c r="BB51" s="5">
        <f t="shared" si="26"/>
        <v>9.8412030586168502</v>
      </c>
      <c r="CT51">
        <f t="shared" ref="CT51:DW51" si="110">IF((CT$8-$B51)&gt;0,_xlfn.LOGNORM.DIST((CT$8-$B51+1),$BD$2,$BD$3,TRUE)-_xlfn.LOGNORM.DIST((CT$8-$B51),$BD$2,$BD$3,TRUE),_xlfn.LOGNORM.DIST((CT$8-$B51+1),$BD$2,$BD$3,TRUE))*$AW51</f>
        <v>5.5154758411296116</v>
      </c>
      <c r="CU51">
        <f t="shared" si="110"/>
        <v>23.252415864699248</v>
      </c>
      <c r="CV51">
        <f t="shared" si="110"/>
        <v>32.537295426888974</v>
      </c>
      <c r="CW51">
        <f t="shared" si="110"/>
        <v>34.619778399807657</v>
      </c>
      <c r="CX51">
        <f t="shared" si="110"/>
        <v>33.38789029551986</v>
      </c>
      <c r="CY51">
        <f t="shared" si="110"/>
        <v>30.841751915417991</v>
      </c>
      <c r="CZ51">
        <f t="shared" si="110"/>
        <v>27.906278173443951</v>
      </c>
      <c r="DA51">
        <f t="shared" si="110"/>
        <v>24.995455566642367</v>
      </c>
      <c r="DB51">
        <f t="shared" si="110"/>
        <v>22.283812281616008</v>
      </c>
      <c r="DC51">
        <f t="shared" si="110"/>
        <v>19.833248470448638</v>
      </c>
      <c r="DD51">
        <f t="shared" si="110"/>
        <v>17.653150090422915</v>
      </c>
      <c r="DE51">
        <f t="shared" si="110"/>
        <v>15.729388199169446</v>
      </c>
      <c r="DF51">
        <f t="shared" si="110"/>
        <v>14.03844342092399</v>
      </c>
      <c r="DG51">
        <f t="shared" si="110"/>
        <v>12.55424961256997</v>
      </c>
      <c r="DH51">
        <f t="shared" si="110"/>
        <v>11.25141111174492</v>
      </c>
      <c r="DI51">
        <f t="shared" si="110"/>
        <v>10.106598426843417</v>
      </c>
      <c r="DJ51">
        <f t="shared" si="110"/>
        <v>9.0990326610645624</v>
      </c>
      <c r="DK51">
        <f t="shared" si="110"/>
        <v>8.210524557513212</v>
      </c>
      <c r="DL51">
        <f t="shared" si="110"/>
        <v>7.4253082571025448</v>
      </c>
      <c r="DM51">
        <f t="shared" si="110"/>
        <v>6.7297930954283931</v>
      </c>
      <c r="DN51">
        <f t="shared" si="110"/>
        <v>6.1122956417081884</v>
      </c>
      <c r="DO51">
        <f t="shared" si="110"/>
        <v>5.5627820033085422</v>
      </c>
      <c r="DP51">
        <f t="shared" si="110"/>
        <v>5.0726335212125671</v>
      </c>
      <c r="DQ51">
        <f t="shared" si="110"/>
        <v>4.6344402351597012</v>
      </c>
      <c r="DR51">
        <f t="shared" si="110"/>
        <v>4.2418221201793109</v>
      </c>
      <c r="DS51">
        <f t="shared" si="110"/>
        <v>3.8892760570036438</v>
      </c>
      <c r="DT51">
        <f t="shared" si="110"/>
        <v>3.5720456960997087</v>
      </c>
      <c r="DU51">
        <f t="shared" si="110"/>
        <v>3.2860112092960492</v>
      </c>
      <c r="DV51">
        <f t="shared" si="110"/>
        <v>3.0275960683059839</v>
      </c>
      <c r="DW51" s="4">
        <f t="shared" si="110"/>
        <v>2.7936882702964216</v>
      </c>
      <c r="DZ51" s="8">
        <f t="shared" si="30"/>
        <v>558.90525557016747</v>
      </c>
      <c r="EB51" s="3">
        <f t="shared" si="31"/>
        <v>4215.4869511727038</v>
      </c>
      <c r="EF51" s="3">
        <f t="shared" si="32"/>
        <v>28451.121212649097</v>
      </c>
      <c r="EG51">
        <f t="shared" si="33"/>
        <v>0.86</v>
      </c>
      <c r="EH51">
        <f t="shared" si="34"/>
        <v>24467.964242878224</v>
      </c>
      <c r="EI51" s="4">
        <f>SUM($EH$10:EH51)</f>
        <v>1326532.4468973526</v>
      </c>
      <c r="EJ51" s="4">
        <f t="shared" si="42"/>
        <v>1326.5324468973527</v>
      </c>
      <c r="EN51" s="3">
        <f t="shared" si="35"/>
        <v>380.2099410011524</v>
      </c>
      <c r="EO51">
        <v>6.5714637004209306</v>
      </c>
      <c r="EP51">
        <f t="shared" si="36"/>
        <v>386.78140470157331</v>
      </c>
      <c r="EQ51">
        <f>SUM($EP$10:EP51)</f>
        <v>18601.836268603187</v>
      </c>
      <c r="ER51">
        <f t="shared" si="37"/>
        <v>444583886.81961614</v>
      </c>
      <c r="ES51" s="4">
        <f t="shared" si="38"/>
        <v>264.50518346333064</v>
      </c>
    </row>
    <row r="52" spans="1:149" x14ac:dyDescent="0.25">
      <c r="A52" s="41"/>
      <c r="B52" s="39">
        <v>2032</v>
      </c>
      <c r="C52">
        <v>355995512</v>
      </c>
      <c r="D52" s="40">
        <f t="shared" si="6"/>
        <v>355.99551200000002</v>
      </c>
      <c r="E52" s="12">
        <f t="shared" si="102"/>
        <v>982.54761311999994</v>
      </c>
      <c r="F52" s="5">
        <f t="shared" si="8"/>
        <v>451.9719020352</v>
      </c>
      <c r="G52" s="13">
        <f t="shared" si="103"/>
        <v>363.54261685439997</v>
      </c>
      <c r="H52">
        <v>664</v>
      </c>
      <c r="I52" s="13">
        <f t="shared" si="104"/>
        <v>58.952856787199991</v>
      </c>
      <c r="J52">
        <v>88200</v>
      </c>
      <c r="K52" s="13">
        <v>0.46</v>
      </c>
      <c r="L52" s="14">
        <f t="shared" si="10"/>
        <v>-2280.7948486782702</v>
      </c>
      <c r="N52" s="7">
        <f t="shared" si="11"/>
        <v>690.38477907617096</v>
      </c>
      <c r="O52" s="5">
        <f t="shared" si="12"/>
        <v>619.00499626559997</v>
      </c>
      <c r="P52">
        <v>88200</v>
      </c>
      <c r="Q52" s="5">
        <v>0.46400000000000002</v>
      </c>
      <c r="R52" s="5">
        <f t="shared" si="13"/>
        <v>28253.859006736478</v>
      </c>
      <c r="S52" s="5">
        <f t="shared" si="14"/>
        <v>320.33853749134335</v>
      </c>
      <c r="T52" s="5">
        <f t="shared" si="15"/>
        <v>287.21831826723837</v>
      </c>
      <c r="U52" s="6">
        <f t="shared" si="16"/>
        <v>26671.730047968515</v>
      </c>
      <c r="W52" s="9">
        <f t="shared" si="17"/>
        <v>26671.730047968515</v>
      </c>
      <c r="AA52" s="19">
        <v>0.12</v>
      </c>
      <c r="AB52">
        <v>0.36</v>
      </c>
      <c r="AC52" s="6">
        <f t="shared" si="39"/>
        <v>1207.2353520315617</v>
      </c>
      <c r="AD52" s="5"/>
      <c r="AE52" s="5"/>
      <c r="AF52" s="5"/>
      <c r="AG52" s="5"/>
      <c r="AH52" s="13">
        <v>0.02</v>
      </c>
      <c r="AJ52" s="3">
        <v>1.7999999999999999E-2</v>
      </c>
      <c r="AK52">
        <f t="shared" si="18"/>
        <v>5.1699297288102901</v>
      </c>
      <c r="AL52" s="6">
        <f t="shared" si="19"/>
        <v>508.56946212125655</v>
      </c>
      <c r="AO52" s="5">
        <f t="shared" si="93"/>
        <v>9.1113739081569634</v>
      </c>
      <c r="AP52" s="5">
        <f t="shared" si="20"/>
        <v>5626.2364073652625</v>
      </c>
      <c r="AQ52" s="5">
        <f t="shared" si="94"/>
        <v>-1182.550406958826</v>
      </c>
      <c r="AR52" s="6">
        <f t="shared" si="95"/>
        <v>351988.70140643086</v>
      </c>
      <c r="AS52" s="5"/>
      <c r="AT52" s="5"/>
      <c r="AV52" s="3">
        <f t="shared" si="96"/>
        <v>27844.423288741636</v>
      </c>
      <c r="AW52" s="5">
        <f t="shared" si="97"/>
        <v>455.90209248768002</v>
      </c>
      <c r="AX52" s="5">
        <v>442.86052812704304</v>
      </c>
      <c r="AZ52">
        <f t="shared" si="24"/>
        <v>0</v>
      </c>
      <c r="BA52" s="5">
        <f t="shared" si="25"/>
        <v>9.8571661857039405</v>
      </c>
      <c r="BB52" s="5">
        <f t="shared" si="26"/>
        <v>9.8571661857039405</v>
      </c>
      <c r="CU52">
        <f t="shared" ref="CU52:DW52" si="111">IF((CU$8-$B52)&gt;0,_xlfn.LOGNORM.DIST((CU$8-$B52+1),$BD$2,$BD$3,TRUE)-_xlfn.LOGNORM.DIST((CU$8-$B52),$BD$2,$BD$3,TRUE),_xlfn.LOGNORM.DIST((CU$8-$B52+1),$BD$2,$BD$3,TRUE))*$AW52</f>
        <v>5.5450347222751875</v>
      </c>
      <c r="CV52">
        <f t="shared" si="111"/>
        <v>23.377031657912724</v>
      </c>
      <c r="CW52">
        <f t="shared" si="111"/>
        <v>32.711671324096223</v>
      </c>
      <c r="CX52">
        <f t="shared" si="111"/>
        <v>34.805314869276899</v>
      </c>
      <c r="CY52">
        <f t="shared" si="111"/>
        <v>33.566824753647168</v>
      </c>
      <c r="CZ52">
        <f t="shared" si="111"/>
        <v>31.007040950389531</v>
      </c>
      <c r="DA52">
        <f t="shared" si="111"/>
        <v>28.055835234974882</v>
      </c>
      <c r="DB52">
        <f t="shared" si="111"/>
        <v>25.129412766629404</v>
      </c>
      <c r="DC52">
        <f t="shared" si="111"/>
        <v>22.40323707426775</v>
      </c>
      <c r="DD52">
        <f t="shared" si="111"/>
        <v>19.93954004911841</v>
      </c>
      <c r="DE52">
        <f t="shared" si="111"/>
        <v>17.747757950270042</v>
      </c>
      <c r="DF52">
        <f t="shared" si="111"/>
        <v>15.813686114646606</v>
      </c>
      <c r="DG52">
        <f t="shared" si="111"/>
        <v>14.113679119982548</v>
      </c>
      <c r="DH52">
        <f t="shared" si="111"/>
        <v>12.621531127866</v>
      </c>
      <c r="DI52">
        <f t="shared" si="111"/>
        <v>11.311710373921356</v>
      </c>
      <c r="DJ52">
        <f t="shared" si="111"/>
        <v>10.160762337680879</v>
      </c>
      <c r="DK52">
        <f t="shared" si="111"/>
        <v>9.1477967627876566</v>
      </c>
      <c r="DL52">
        <f t="shared" si="111"/>
        <v>8.2545269113497675</v>
      </c>
      <c r="DM52">
        <f t="shared" si="111"/>
        <v>7.465102430907864</v>
      </c>
      <c r="DN52">
        <f t="shared" si="111"/>
        <v>6.7658598211238754</v>
      </c>
      <c r="DO52">
        <f t="shared" si="111"/>
        <v>6.1450530366463676</v>
      </c>
      <c r="DP52">
        <f t="shared" si="111"/>
        <v>5.5925944105805252</v>
      </c>
      <c r="DQ52">
        <f t="shared" si="111"/>
        <v>5.0998190942560475</v>
      </c>
      <c r="DR52">
        <f t="shared" si="111"/>
        <v>4.6592774154925047</v>
      </c>
      <c r="DS52">
        <f t="shared" si="111"/>
        <v>4.2645551570926532</v>
      </c>
      <c r="DT52">
        <f t="shared" si="111"/>
        <v>3.9101197071297147</v>
      </c>
      <c r="DU52">
        <f t="shared" si="111"/>
        <v>3.5911892255464717</v>
      </c>
      <c r="DV52">
        <f t="shared" si="111"/>
        <v>3.3036218049321122</v>
      </c>
      <c r="DW52" s="4">
        <f t="shared" si="111"/>
        <v>3.0438217494471309</v>
      </c>
      <c r="DZ52" s="8">
        <f t="shared" si="30"/>
        <v>556.88846577483275</v>
      </c>
      <c r="EB52" s="3">
        <f t="shared" si="31"/>
        <v>4238.0788510104712</v>
      </c>
      <c r="EF52" s="3">
        <f t="shared" si="32"/>
        <v>28352.992750862893</v>
      </c>
      <c r="EG52">
        <f t="shared" si="33"/>
        <v>0.86</v>
      </c>
      <c r="EH52">
        <f t="shared" si="34"/>
        <v>24383.573765742087</v>
      </c>
      <c r="EI52" s="4">
        <f>SUM($EH$10:EH52)</f>
        <v>1350916.0206630947</v>
      </c>
      <c r="EJ52" s="4">
        <f t="shared" si="42"/>
        <v>1350.9160206630947</v>
      </c>
      <c r="EN52" s="3">
        <f t="shared" si="35"/>
        <v>380.86005418925703</v>
      </c>
      <c r="EO52">
        <v>6.6082216679053776</v>
      </c>
      <c r="EP52">
        <f t="shared" si="36"/>
        <v>387.46827585716238</v>
      </c>
      <c r="EQ52">
        <f>SUM($EP$10:EP52)</f>
        <v>18989.304544460349</v>
      </c>
      <c r="ER52">
        <f t="shared" si="37"/>
        <v>453844378.61260229</v>
      </c>
      <c r="ES52" s="4">
        <f t="shared" si="38"/>
        <v>270.01471305556771</v>
      </c>
    </row>
    <row r="53" spans="1:149" x14ac:dyDescent="0.25">
      <c r="A53" s="41"/>
      <c r="B53" s="39">
        <v>2033</v>
      </c>
      <c r="C53">
        <v>357846311</v>
      </c>
      <c r="D53" s="40">
        <f t="shared" si="6"/>
        <v>357.84631100000001</v>
      </c>
      <c r="E53" s="12">
        <f t="shared" si="102"/>
        <v>987.65581836000001</v>
      </c>
      <c r="F53" s="5">
        <f t="shared" si="8"/>
        <v>454.32167644560002</v>
      </c>
      <c r="G53" s="13">
        <f t="shared" si="103"/>
        <v>365.43265279320002</v>
      </c>
      <c r="H53">
        <v>664</v>
      </c>
      <c r="I53" s="13">
        <f t="shared" si="104"/>
        <v>59.259349101600002</v>
      </c>
      <c r="J53">
        <v>88200</v>
      </c>
      <c r="K53" s="13">
        <v>0.46</v>
      </c>
      <c r="L53" s="14">
        <f t="shared" si="10"/>
        <v>-2292.6525622809604</v>
      </c>
      <c r="N53" s="7">
        <f t="shared" si="11"/>
        <v>693.97404752382886</v>
      </c>
      <c r="O53" s="5">
        <f t="shared" si="12"/>
        <v>622.22316556679993</v>
      </c>
      <c r="P53">
        <v>88200</v>
      </c>
      <c r="Q53" s="5">
        <v>0.46400000000000002</v>
      </c>
      <c r="R53" s="5">
        <f t="shared" si="13"/>
        <v>28400.749100103192</v>
      </c>
      <c r="S53" s="5">
        <f t="shared" si="14"/>
        <v>322.0039580510566</v>
      </c>
      <c r="T53" s="5">
        <f t="shared" si="15"/>
        <v>288.71154882299521</v>
      </c>
      <c r="U53" s="6">
        <f t="shared" si="16"/>
        <v>26799.762140094012</v>
      </c>
      <c r="W53" s="9">
        <f t="shared" si="17"/>
        <v>26799.762140094012</v>
      </c>
      <c r="AA53" s="19">
        <v>0.12</v>
      </c>
      <c r="AB53">
        <v>0.36</v>
      </c>
      <c r="AC53" s="6">
        <f t="shared" si="39"/>
        <v>1202.8790860736385</v>
      </c>
      <c r="AD53" s="5"/>
      <c r="AE53" s="5"/>
      <c r="AF53" s="5"/>
      <c r="AG53" s="5"/>
      <c r="AH53" s="13">
        <v>0.02</v>
      </c>
      <c r="AJ53" s="3">
        <v>1.7999999999999999E-2</v>
      </c>
      <c r="AK53">
        <f t="shared" si="18"/>
        <v>5.1968078788139138</v>
      </c>
      <c r="AL53" s="6">
        <f t="shared" si="19"/>
        <v>511.21348380185736</v>
      </c>
      <c r="AO53" s="5">
        <f t="shared" si="93"/>
        <v>10.525227484777304</v>
      </c>
      <c r="AP53" s="5">
        <f t="shared" si="20"/>
        <v>5636.7616348500396</v>
      </c>
      <c r="AQ53" s="5">
        <f t="shared" si="94"/>
        <v>-974.91473806231602</v>
      </c>
      <c r="AR53" s="6">
        <f t="shared" si="95"/>
        <v>351013.78666836856</v>
      </c>
      <c r="AS53" s="5"/>
      <c r="AT53" s="5"/>
      <c r="AV53" s="3">
        <f t="shared" si="96"/>
        <v>27764.80127177207</v>
      </c>
      <c r="AW53" s="5">
        <f t="shared" si="97"/>
        <v>458.27229971904001</v>
      </c>
      <c r="AX53" s="5">
        <v>443.79644896082272</v>
      </c>
      <c r="AZ53">
        <f t="shared" si="24"/>
        <v>0</v>
      </c>
      <c r="BA53" s="5">
        <f t="shared" si="25"/>
        <v>9.875606384257269</v>
      </c>
      <c r="BB53" s="5">
        <f t="shared" si="26"/>
        <v>9.875606384257269</v>
      </c>
      <c r="CV53">
        <f t="shared" ref="CV53:DW53" si="112">IF((CV$8-$B53)&gt;0,_xlfn.LOGNORM.DIST((CV$8-$B53+1),$BD$2,$BD$3,TRUE)-_xlfn.LOGNORM.DIST((CV$8-$B53),$BD$2,$BD$3,TRUE),_xlfn.LOGNORM.DIST((CV$8-$B53+1),$BD$2,$BD$3,TRUE))*$AW53</f>
        <v>5.5738630203098882</v>
      </c>
      <c r="CW53">
        <f t="shared" si="112"/>
        <v>23.498567422710323</v>
      </c>
      <c r="CX53">
        <f t="shared" si="112"/>
        <v>32.881737312385887</v>
      </c>
      <c r="CY53">
        <f t="shared" si="112"/>
        <v>34.986265582932923</v>
      </c>
      <c r="CZ53">
        <f t="shared" si="112"/>
        <v>33.741336632570025</v>
      </c>
      <c r="DA53">
        <f t="shared" si="112"/>
        <v>31.168244669114895</v>
      </c>
      <c r="DB53">
        <f t="shared" si="112"/>
        <v>28.201695814804484</v>
      </c>
      <c r="DC53">
        <f t="shared" si="112"/>
        <v>25.260059054156379</v>
      </c>
      <c r="DD53">
        <f t="shared" si="112"/>
        <v>22.519710140292858</v>
      </c>
      <c r="DE53">
        <f t="shared" si="112"/>
        <v>20.043204504257293</v>
      </c>
      <c r="DF53">
        <f t="shared" si="112"/>
        <v>17.840027463675035</v>
      </c>
      <c r="DG53">
        <f t="shared" si="112"/>
        <v>15.895900506291245</v>
      </c>
      <c r="DH53">
        <f t="shared" si="112"/>
        <v>14.187055278729135</v>
      </c>
      <c r="DI53">
        <f t="shared" si="112"/>
        <v>12.687149700017896</v>
      </c>
      <c r="DJ53">
        <f t="shared" si="112"/>
        <v>11.370519267692869</v>
      </c>
      <c r="DK53">
        <f t="shared" si="112"/>
        <v>10.213587522661911</v>
      </c>
      <c r="DL53">
        <f t="shared" si="112"/>
        <v>9.1953556013967539</v>
      </c>
      <c r="DM53">
        <f t="shared" si="112"/>
        <v>8.2974416943681533</v>
      </c>
      <c r="DN53">
        <f t="shared" si="112"/>
        <v>7.5039130440990265</v>
      </c>
      <c r="DO53">
        <f t="shared" si="112"/>
        <v>6.8010351145446428</v>
      </c>
      <c r="DP53">
        <f t="shared" si="112"/>
        <v>6.1770007933786824</v>
      </c>
      <c r="DQ53">
        <f t="shared" si="112"/>
        <v>5.6216699685401101</v>
      </c>
      <c r="DR53">
        <f t="shared" si="112"/>
        <v>5.1263327433377528</v>
      </c>
      <c r="DS53">
        <f t="shared" si="112"/>
        <v>4.6835007151989236</v>
      </c>
      <c r="DT53">
        <f t="shared" si="112"/>
        <v>4.2867263198015584</v>
      </c>
      <c r="DU53">
        <f t="shared" si="112"/>
        <v>3.9304481815062</v>
      </c>
      <c r="DV53">
        <f t="shared" si="112"/>
        <v>3.6098595997602119</v>
      </c>
      <c r="DW53" s="4">
        <f t="shared" si="112"/>
        <v>3.3207971336282407</v>
      </c>
      <c r="DZ53" s="8">
        <f t="shared" si="30"/>
        <v>555.29602543544138</v>
      </c>
      <c r="EB53" s="3">
        <f t="shared" si="31"/>
        <v>4260.1123650154786</v>
      </c>
      <c r="EF53" s="3">
        <f t="shared" si="32"/>
        <v>28276.014755573928</v>
      </c>
      <c r="EG53">
        <f t="shared" si="33"/>
        <v>0.86</v>
      </c>
      <c r="EH53">
        <f t="shared" si="34"/>
        <v>24317.372689793578</v>
      </c>
      <c r="EI53" s="4">
        <f>SUM($EH$10:EH53)</f>
        <v>1375233.3933528883</v>
      </c>
      <c r="EJ53" s="4">
        <f t="shared" si="42"/>
        <v>1375.2333933528882</v>
      </c>
      <c r="EN53" s="3">
        <f t="shared" si="35"/>
        <v>381.66494610630753</v>
      </c>
      <c r="EO53">
        <v>6.6446327727143304</v>
      </c>
      <c r="EP53">
        <f t="shared" si="36"/>
        <v>388.30957887902184</v>
      </c>
      <c r="EQ53">
        <f>SUM($EP$10:EP53)</f>
        <v>19377.614123339372</v>
      </c>
      <c r="ER53">
        <f t="shared" si="37"/>
        <v>463124977.54781091</v>
      </c>
      <c r="ES53" s="4">
        <f t="shared" si="38"/>
        <v>275.53620539207009</v>
      </c>
    </row>
    <row r="54" spans="1:149" x14ac:dyDescent="0.25">
      <c r="A54" s="41"/>
      <c r="B54" s="39">
        <v>2034</v>
      </c>
      <c r="C54">
        <v>359650760</v>
      </c>
      <c r="D54" s="40">
        <f t="shared" si="6"/>
        <v>359.65075999999999</v>
      </c>
      <c r="E54" s="12">
        <f t="shared" si="102"/>
        <v>992.63609759999986</v>
      </c>
      <c r="F54" s="5">
        <f t="shared" si="8"/>
        <v>456.61260489599994</v>
      </c>
      <c r="G54" s="13">
        <f t="shared" si="103"/>
        <v>367.27535611199994</v>
      </c>
      <c r="H54">
        <v>664</v>
      </c>
      <c r="I54" s="13">
        <f t="shared" si="104"/>
        <v>59.558165855999988</v>
      </c>
      <c r="J54">
        <v>88200</v>
      </c>
      <c r="K54" s="13">
        <v>0.46</v>
      </c>
      <c r="L54" s="14">
        <f t="shared" si="10"/>
        <v>-2304.2133203387825</v>
      </c>
      <c r="N54" s="7">
        <f t="shared" si="11"/>
        <v>697.47342906720962</v>
      </c>
      <c r="O54" s="5">
        <f t="shared" si="12"/>
        <v>625.36074148799992</v>
      </c>
      <c r="P54">
        <v>88200</v>
      </c>
      <c r="Q54" s="5">
        <v>0.46400000000000002</v>
      </c>
      <c r="R54" s="5">
        <f t="shared" si="13"/>
        <v>28543.960589889743</v>
      </c>
      <c r="S54" s="5">
        <f t="shared" si="14"/>
        <v>323.62767108718526</v>
      </c>
      <c r="T54" s="5">
        <f t="shared" si="15"/>
        <v>290.16738405043196</v>
      </c>
      <c r="U54" s="6">
        <f t="shared" si="16"/>
        <v>26925.395393873499</v>
      </c>
      <c r="W54" s="9">
        <f t="shared" si="17"/>
        <v>26925.395393873499</v>
      </c>
      <c r="AA54" s="19">
        <v>0.12</v>
      </c>
      <c r="AB54">
        <v>0.36</v>
      </c>
      <c r="AC54" s="6">
        <f t="shared" si="39"/>
        <v>1199.4394149405534</v>
      </c>
      <c r="AD54" s="5"/>
      <c r="AE54" s="5"/>
      <c r="AF54" s="5"/>
      <c r="AG54" s="5"/>
      <c r="AH54" s="13">
        <v>0.02</v>
      </c>
      <c r="AJ54" s="3">
        <v>1.7999999999999999E-2</v>
      </c>
      <c r="AK54">
        <f t="shared" si="18"/>
        <v>5.2230129129077749</v>
      </c>
      <c r="AL54" s="6">
        <f t="shared" si="19"/>
        <v>513.7912906180153</v>
      </c>
      <c r="AO54" s="5">
        <f t="shared" si="93"/>
        <v>11.735901436928543</v>
      </c>
      <c r="AP54" s="5">
        <f t="shared" si="20"/>
        <v>5648.4975362869682</v>
      </c>
      <c r="AQ54" s="5">
        <f t="shared" si="94"/>
        <v>-787.97067330742311</v>
      </c>
      <c r="AR54" s="6">
        <f t="shared" si="95"/>
        <v>350225.81599506113</v>
      </c>
      <c r="AS54" s="5"/>
      <c r="AT54" s="5"/>
      <c r="AV54" s="3">
        <f t="shared" si="96"/>
        <v>27703.469899497348</v>
      </c>
      <c r="AW54" s="5">
        <f t="shared" si="97"/>
        <v>460.58314928639993</v>
      </c>
      <c r="AX54" s="5">
        <v>444.87670345907139</v>
      </c>
      <c r="AZ54">
        <f t="shared" si="24"/>
        <v>0</v>
      </c>
      <c r="BA54" s="5">
        <f t="shared" si="25"/>
        <v>9.8961676835747667</v>
      </c>
      <c r="BB54" s="5">
        <f t="shared" si="26"/>
        <v>9.8961676835747667</v>
      </c>
      <c r="CW54">
        <f t="shared" ref="CW54:DW54" si="113">IF((CW$8-$B54)&gt;0,_xlfn.LOGNORM.DIST((CW$8-$B54+1),$BD$2,$BD$3,TRUE)-_xlfn.LOGNORM.DIST((CW$8-$B54),$BD$2,$BD$3,TRUE),_xlfn.LOGNORM.DIST((CW$8-$B54+1),$BD$2,$BD$3,TRUE))*$AW54</f>
        <v>5.6019693644133906</v>
      </c>
      <c r="CX54">
        <f t="shared" si="113"/>
        <v>23.617059538414544</v>
      </c>
      <c r="CY54">
        <f t="shared" si="113"/>
        <v>33.047544297641068</v>
      </c>
      <c r="CZ54">
        <f t="shared" si="113"/>
        <v>35.162684704785647</v>
      </c>
      <c r="DA54">
        <f t="shared" si="113"/>
        <v>33.911478168960777</v>
      </c>
      <c r="DB54">
        <f t="shared" si="113"/>
        <v>31.325411324732418</v>
      </c>
      <c r="DC54">
        <f t="shared" si="113"/>
        <v>28.343903573406546</v>
      </c>
      <c r="DD54">
        <f t="shared" si="113"/>
        <v>25.387433535600209</v>
      </c>
      <c r="DE54">
        <f t="shared" si="113"/>
        <v>22.633266343595285</v>
      </c>
      <c r="DF54">
        <f t="shared" si="113"/>
        <v>20.14427286576543</v>
      </c>
      <c r="DG54">
        <f t="shared" si="113"/>
        <v>17.92998624968806</v>
      </c>
      <c r="DH54">
        <f t="shared" si="113"/>
        <v>15.97605598335211</v>
      </c>
      <c r="DI54">
        <f t="shared" si="113"/>
        <v>14.258593860862643</v>
      </c>
      <c r="DJ54">
        <f t="shared" si="113"/>
        <v>12.751124970644751</v>
      </c>
      <c r="DK54">
        <f t="shared" si="113"/>
        <v>11.427855396336286</v>
      </c>
      <c r="DL54">
        <f t="shared" si="113"/>
        <v>10.265089793958706</v>
      </c>
      <c r="DM54">
        <f t="shared" si="113"/>
        <v>9.2417234126876302</v>
      </c>
      <c r="DN54">
        <f t="shared" si="113"/>
        <v>8.3392817522581471</v>
      </c>
      <c r="DO54">
        <f t="shared" si="113"/>
        <v>7.5417517138639099</v>
      </c>
      <c r="DP54">
        <f t="shared" si="113"/>
        <v>6.8353295047176479</v>
      </c>
      <c r="DQ54">
        <f t="shared" si="113"/>
        <v>6.208148474832945</v>
      </c>
      <c r="DR54">
        <f t="shared" si="113"/>
        <v>5.6500173803793281</v>
      </c>
      <c r="DS54">
        <f t="shared" si="113"/>
        <v>5.1521824047930664</v>
      </c>
      <c r="DT54">
        <f t="shared" si="113"/>
        <v>4.7071173850436487</v>
      </c>
      <c r="DU54">
        <f t="shared" si="113"/>
        <v>4.3083422448041757</v>
      </c>
      <c r="DV54">
        <f t="shared" si="113"/>
        <v>3.9502675650590193</v>
      </c>
      <c r="DW54" s="4">
        <f t="shared" si="113"/>
        <v>3.6280624073474264</v>
      </c>
      <c r="DZ54" s="8">
        <f t="shared" si="30"/>
        <v>554.06939798994699</v>
      </c>
      <c r="EB54" s="3">
        <f t="shared" si="31"/>
        <v>4281.5940884834608</v>
      </c>
      <c r="EF54" s="3">
        <f t="shared" si="32"/>
        <v>28217.261190115361</v>
      </c>
      <c r="EG54">
        <f t="shared" si="33"/>
        <v>0.86</v>
      </c>
      <c r="EH54">
        <f t="shared" si="34"/>
        <v>24266.844623499212</v>
      </c>
      <c r="EI54" s="4">
        <f>SUM($EH$10:EH54)</f>
        <v>1399500.2379763876</v>
      </c>
      <c r="EJ54" s="4">
        <f t="shared" si="42"/>
        <v>1399.5002379763876</v>
      </c>
      <c r="EN54" s="3">
        <f t="shared" si="35"/>
        <v>382.59396497480139</v>
      </c>
      <c r="EO54">
        <v>6.6807330486391772</v>
      </c>
      <c r="EP54">
        <f t="shared" si="36"/>
        <v>389.27469802344058</v>
      </c>
      <c r="EQ54">
        <f>SUM($EP$10:EP54)</f>
        <v>19766.888821362812</v>
      </c>
      <c r="ER54">
        <f t="shared" si="37"/>
        <v>472428642.83057123</v>
      </c>
      <c r="ES54" s="4">
        <f t="shared" si="38"/>
        <v>281.07142105204844</v>
      </c>
    </row>
    <row r="55" spans="1:149" x14ac:dyDescent="0.25">
      <c r="A55" s="41"/>
      <c r="B55" s="39">
        <v>2035</v>
      </c>
      <c r="C55">
        <v>361409666</v>
      </c>
      <c r="D55" s="40">
        <f t="shared" si="6"/>
        <v>361.40966600000002</v>
      </c>
      <c r="E55" s="12">
        <f t="shared" si="102"/>
        <v>997.49067816000002</v>
      </c>
      <c r="F55" s="5">
        <f t="shared" si="8"/>
        <v>458.84571195360002</v>
      </c>
      <c r="G55" s="13">
        <f t="shared" si="103"/>
        <v>369.07155091919998</v>
      </c>
      <c r="H55">
        <v>664</v>
      </c>
      <c r="I55" s="13">
        <f t="shared" si="104"/>
        <v>59.849440689600002</v>
      </c>
      <c r="J55">
        <v>88200</v>
      </c>
      <c r="K55" s="13">
        <v>0.46</v>
      </c>
      <c r="L55" s="14">
        <f t="shared" si="10"/>
        <v>-2315.4822931456911</v>
      </c>
      <c r="N55" s="7">
        <f t="shared" si="11"/>
        <v>700.88448872749484</v>
      </c>
      <c r="O55" s="5">
        <f t="shared" si="12"/>
        <v>628.41912724079998</v>
      </c>
      <c r="P55">
        <v>88200</v>
      </c>
      <c r="Q55" s="5">
        <v>0.46400000000000002</v>
      </c>
      <c r="R55" s="5">
        <f t="shared" si="13"/>
        <v>28683.557524274984</v>
      </c>
      <c r="S55" s="5">
        <f t="shared" si="14"/>
        <v>325.21040276955762</v>
      </c>
      <c r="T55" s="5">
        <f t="shared" si="15"/>
        <v>291.58647503973123</v>
      </c>
      <c r="U55" s="6">
        <f t="shared" si="16"/>
        <v>27048.561095350626</v>
      </c>
      <c r="W55" s="9">
        <f t="shared" si="17"/>
        <v>27048.561095350626</v>
      </c>
      <c r="AA55" s="19">
        <v>0.12</v>
      </c>
      <c r="AB55">
        <v>0.36</v>
      </c>
      <c r="AC55" s="6">
        <f t="shared" si="39"/>
        <v>1196.7898996582853</v>
      </c>
      <c r="AD55" s="5"/>
      <c r="AE55" s="5"/>
      <c r="AF55" s="5"/>
      <c r="AG55" s="5"/>
      <c r="AH55" s="13">
        <v>0.02</v>
      </c>
      <c r="AJ55" s="3">
        <v>1.7999999999999999E-2</v>
      </c>
      <c r="AK55">
        <f t="shared" si="18"/>
        <v>5.2485565507151613</v>
      </c>
      <c r="AL55" s="6">
        <f t="shared" si="19"/>
        <v>516.30403543694968</v>
      </c>
      <c r="AO55" s="5">
        <f t="shared" si="93"/>
        <v>12.770870120025336</v>
      </c>
      <c r="AP55" s="5">
        <f t="shared" si="20"/>
        <v>5661.2684064069936</v>
      </c>
      <c r="AQ55" s="5">
        <f t="shared" si="94"/>
        <v>-619.49564602053488</v>
      </c>
      <c r="AR55" s="6">
        <f t="shared" si="95"/>
        <v>349606.32034904062</v>
      </c>
      <c r="AS55" s="5"/>
      <c r="AT55" s="5"/>
      <c r="AV55" s="3">
        <f t="shared" si="96"/>
        <v>27658.138199123136</v>
      </c>
      <c r="AW55" s="5">
        <f t="shared" si="97"/>
        <v>462.83567466624004</v>
      </c>
      <c r="AX55" s="5">
        <v>446.07484183357468</v>
      </c>
      <c r="AZ55">
        <f t="shared" si="24"/>
        <v>0</v>
      </c>
      <c r="BA55" s="5">
        <f t="shared" si="25"/>
        <v>9.9185422480250534</v>
      </c>
      <c r="BB55" s="5">
        <f t="shared" si="26"/>
        <v>9.9185422480250534</v>
      </c>
      <c r="CX55">
        <f t="shared" ref="CX55:DW55" si="114">IF((CX$8-$B55)&gt;0,_xlfn.LOGNORM.DIST((CX$8-$B55+1),$BD$2,$BD$3,TRUE)-_xlfn.LOGNORM.DIST((CX$8-$B55),$BD$2,$BD$3,TRUE),_xlfn.LOGNORM.DIST((CX$8-$B55+1),$BD$2,$BD$3,TRUE))*$AW55</f>
        <v>5.6293663245279291</v>
      </c>
      <c r="CY55">
        <f t="shared" si="114"/>
        <v>23.732560998009614</v>
      </c>
      <c r="CZ55">
        <f t="shared" si="114"/>
        <v>33.209166433377383</v>
      </c>
      <c r="DA55">
        <f t="shared" si="114"/>
        <v>35.334651134394633</v>
      </c>
      <c r="DB55">
        <f t="shared" si="114"/>
        <v>34.077325454867406</v>
      </c>
      <c r="DC55">
        <f t="shared" si="114"/>
        <v>31.478611206560949</v>
      </c>
      <c r="DD55">
        <f t="shared" si="114"/>
        <v>28.482522110063297</v>
      </c>
      <c r="DE55">
        <f t="shared" si="114"/>
        <v>25.511593176387205</v>
      </c>
      <c r="DF55">
        <f t="shared" si="114"/>
        <v>22.743956469681351</v>
      </c>
      <c r="DG55">
        <f t="shared" si="114"/>
        <v>20.242790334237437</v>
      </c>
      <c r="DH55">
        <f t="shared" si="114"/>
        <v>18.01767454039123</v>
      </c>
      <c r="DI55">
        <f t="shared" si="114"/>
        <v>16.054188393597691</v>
      </c>
      <c r="DJ55">
        <f t="shared" si="114"/>
        <v>14.328326860435439</v>
      </c>
      <c r="DK55">
        <f t="shared" si="114"/>
        <v>12.813485551274743</v>
      </c>
      <c r="DL55">
        <f t="shared" si="114"/>
        <v>11.483744402170027</v>
      </c>
      <c r="DM55">
        <f t="shared" si="114"/>
        <v>10.315292184825706</v>
      </c>
      <c r="DN55">
        <f t="shared" si="114"/>
        <v>9.2869209336407827</v>
      </c>
      <c r="DO55">
        <f t="shared" si="114"/>
        <v>8.3800657970624393</v>
      </c>
      <c r="DP55">
        <f t="shared" si="114"/>
        <v>7.5786353627126601</v>
      </c>
      <c r="DQ55">
        <f t="shared" si="114"/>
        <v>6.8687583290521923</v>
      </c>
      <c r="DR55">
        <f t="shared" si="114"/>
        <v>6.2385100111224139</v>
      </c>
      <c r="DS55">
        <f t="shared" si="114"/>
        <v>5.6776493238526404</v>
      </c>
      <c r="DT55">
        <f t="shared" si="114"/>
        <v>5.1773796393127025</v>
      </c>
      <c r="DU55">
        <f t="shared" si="114"/>
        <v>4.7301379870611671</v>
      </c>
      <c r="DV55">
        <f t="shared" si="114"/>
        <v>4.3294125993460097</v>
      </c>
      <c r="DW55" s="4">
        <f t="shared" si="114"/>
        <v>3.9695867215701526</v>
      </c>
      <c r="DZ55" s="8">
        <f t="shared" si="30"/>
        <v>553.16276398246271</v>
      </c>
      <c r="EB55" s="3">
        <f t="shared" si="31"/>
        <v>4302.5336286412476</v>
      </c>
      <c r="EF55" s="3">
        <f t="shared" si="32"/>
        <v>28174.442234560087</v>
      </c>
      <c r="EG55">
        <f t="shared" si="33"/>
        <v>0.86</v>
      </c>
      <c r="EH55">
        <f t="shared" si="34"/>
        <v>24230.020321721673</v>
      </c>
      <c r="EI55" s="4">
        <f>SUM($EH$10:EH55)</f>
        <v>1423730.2582981093</v>
      </c>
      <c r="EJ55" s="4">
        <f t="shared" si="42"/>
        <v>1423.7302582981092</v>
      </c>
      <c r="EN55" s="3">
        <f t="shared" si="35"/>
        <v>383.62436397687424</v>
      </c>
      <c r="EO55">
        <v>6.7156610665916379</v>
      </c>
      <c r="EP55">
        <f t="shared" si="36"/>
        <v>390.34002504346586</v>
      </c>
      <c r="EQ55">
        <f>SUM($EP$10:EP55)</f>
        <v>20157.228846406277</v>
      </c>
      <c r="ER55">
        <f t="shared" si="37"/>
        <v>481757769.42910999</v>
      </c>
      <c r="ES55" s="4">
        <f t="shared" si="38"/>
        <v>286.62178492184898</v>
      </c>
    </row>
    <row r="56" spans="1:149" x14ac:dyDescent="0.25">
      <c r="A56" s="41"/>
      <c r="B56" s="39">
        <v>2036</v>
      </c>
      <c r="C56">
        <v>363123775</v>
      </c>
      <c r="D56" s="40">
        <f t="shared" si="6"/>
        <v>363.12377500000002</v>
      </c>
      <c r="E56" s="12">
        <f t="shared" si="102"/>
        <v>1002.221619</v>
      </c>
      <c r="F56" s="5">
        <f t="shared" si="8"/>
        <v>461.02194474000004</v>
      </c>
      <c r="G56" s="13">
        <f t="shared" si="103"/>
        <v>370.82199903000003</v>
      </c>
      <c r="H56">
        <v>664</v>
      </c>
      <c r="I56" s="13">
        <f t="shared" si="104"/>
        <v>60.133297139999996</v>
      </c>
      <c r="J56">
        <v>88200</v>
      </c>
      <c r="K56" s="13">
        <v>0.46</v>
      </c>
      <c r="L56" s="14">
        <f t="shared" si="10"/>
        <v>-2326.4642601803566</v>
      </c>
      <c r="N56" s="7">
        <f t="shared" si="11"/>
        <v>704.20867322810591</v>
      </c>
      <c r="O56" s="5">
        <f t="shared" si="12"/>
        <v>631.39961997</v>
      </c>
      <c r="P56">
        <v>88200</v>
      </c>
      <c r="Q56" s="5">
        <v>0.46400000000000002</v>
      </c>
      <c r="R56" s="5">
        <f t="shared" si="13"/>
        <v>28819.59911012559</v>
      </c>
      <c r="S56" s="5">
        <f t="shared" si="14"/>
        <v>326.75282437784114</v>
      </c>
      <c r="T56" s="5">
        <f t="shared" si="15"/>
        <v>292.96942366607999</v>
      </c>
      <c r="U56" s="6">
        <f t="shared" si="16"/>
        <v>27169.213636165092</v>
      </c>
      <c r="W56" s="9">
        <f t="shared" si="17"/>
        <v>27169.213636165092</v>
      </c>
      <c r="AA56" s="19">
        <v>0.12</v>
      </c>
      <c r="AB56">
        <v>0.36</v>
      </c>
      <c r="AC56" s="6">
        <f t="shared" si="39"/>
        <v>1194.8315702021193</v>
      </c>
      <c r="AD56" s="5"/>
      <c r="AE56" s="5"/>
      <c r="AF56" s="5"/>
      <c r="AG56" s="5"/>
      <c r="AH56" s="13">
        <v>0.02</v>
      </c>
      <c r="AJ56" s="3">
        <v>1.7999999999999999E-2</v>
      </c>
      <c r="AK56">
        <f t="shared" si="18"/>
        <v>5.2734496259894392</v>
      </c>
      <c r="AL56" s="6">
        <f t="shared" si="19"/>
        <v>518.75278398226055</v>
      </c>
      <c r="AO56" s="5">
        <f t="shared" si="93"/>
        <v>13.651823969269969</v>
      </c>
      <c r="AP56" s="5">
        <f t="shared" si="20"/>
        <v>5674.9202303762631</v>
      </c>
      <c r="AQ56" s="5">
        <f t="shared" si="94"/>
        <v>-467.6510134160489</v>
      </c>
      <c r="AR56" s="6">
        <f t="shared" si="95"/>
        <v>349138.66933562455</v>
      </c>
      <c r="AS56" s="5"/>
      <c r="AT56" s="5"/>
      <c r="AV56" s="3">
        <f t="shared" si="96"/>
        <v>27626.922189337522</v>
      </c>
      <c r="AW56" s="5">
        <f t="shared" si="97"/>
        <v>465.03083121600002</v>
      </c>
      <c r="AX56" s="5">
        <v>447.37012077073007</v>
      </c>
      <c r="AZ56">
        <f t="shared" si="24"/>
        <v>0</v>
      </c>
      <c r="BA56" s="5">
        <f t="shared" si="25"/>
        <v>9.9424602436192124</v>
      </c>
      <c r="BB56" s="5">
        <f t="shared" si="26"/>
        <v>9.9424602436192124</v>
      </c>
      <c r="CY56">
        <f t="shared" ref="CY56:DW56" si="115">IF((CY$8-$B56)&gt;0,_xlfn.LOGNORM.DIST((CY$8-$B56+1),$BD$2,$BD$3,TRUE)-_xlfn.LOGNORM.DIST((CY$8-$B56),$BD$2,$BD$3,TRUE),_xlfn.LOGNORM.DIST((CY$8-$B56+1),$BD$2,$BD$3,TRUE))*$AW56</f>
        <v>5.6560655204514001</v>
      </c>
      <c r="CZ56">
        <f t="shared" si="115"/>
        <v>23.84512078881426</v>
      </c>
      <c r="DA56">
        <f t="shared" si="115"/>
        <v>33.366672267950023</v>
      </c>
      <c r="DB56">
        <f t="shared" si="115"/>
        <v>35.502237807412186</v>
      </c>
      <c r="DC56">
        <f t="shared" si="115"/>
        <v>34.238948830646507</v>
      </c>
      <c r="DD56">
        <f t="shared" si="115"/>
        <v>31.627909290848123</v>
      </c>
      <c r="DE56">
        <f t="shared" si="115"/>
        <v>28.617610216676248</v>
      </c>
      <c r="DF56">
        <f t="shared" si="115"/>
        <v>25.632590636006849</v>
      </c>
      <c r="DG56">
        <f t="shared" si="115"/>
        <v>22.851827465252036</v>
      </c>
      <c r="DH56">
        <f t="shared" si="115"/>
        <v>20.338798693618255</v>
      </c>
      <c r="DI56">
        <f t="shared" si="115"/>
        <v>18.103129526779878</v>
      </c>
      <c r="DJ56">
        <f t="shared" si="115"/>
        <v>16.130330875113835</v>
      </c>
      <c r="DK56">
        <f t="shared" si="115"/>
        <v>14.396283853114252</v>
      </c>
      <c r="DL56">
        <f t="shared" si="115"/>
        <v>12.874257890730682</v>
      </c>
      <c r="DM56">
        <f t="shared" si="115"/>
        <v>11.538209989245551</v>
      </c>
      <c r="DN56">
        <f t="shared" si="115"/>
        <v>10.364215987465892</v>
      </c>
      <c r="DO56">
        <f t="shared" si="115"/>
        <v>9.3309673337573802</v>
      </c>
      <c r="DP56">
        <f t="shared" si="115"/>
        <v>8.4198111264066107</v>
      </c>
      <c r="DQ56">
        <f t="shared" si="115"/>
        <v>7.6145796340065663</v>
      </c>
      <c r="DR56">
        <f t="shared" si="115"/>
        <v>6.9013357656242764</v>
      </c>
      <c r="DS56">
        <f t="shared" si="115"/>
        <v>6.2680982794025848</v>
      </c>
      <c r="DT56">
        <f t="shared" si="115"/>
        <v>5.7045775184207947</v>
      </c>
      <c r="DU56">
        <f t="shared" si="115"/>
        <v>5.201935133730947</v>
      </c>
      <c r="DV56">
        <f t="shared" si="115"/>
        <v>4.752572284916563</v>
      </c>
      <c r="DW56" s="4">
        <f t="shared" si="115"/>
        <v>4.349946319939006</v>
      </c>
      <c r="DZ56" s="8">
        <f t="shared" si="30"/>
        <v>552.53844378675046</v>
      </c>
      <c r="EB56" s="3">
        <f t="shared" si="31"/>
        <v>4322.9398665188382</v>
      </c>
      <c r="EF56" s="3">
        <f t="shared" si="32"/>
        <v>28145.674973319783</v>
      </c>
      <c r="EG56">
        <f t="shared" si="33"/>
        <v>0.86</v>
      </c>
      <c r="EH56">
        <f t="shared" si="34"/>
        <v>24205.280477055014</v>
      </c>
      <c r="EI56" s="4">
        <f>SUM($EH$10:EH56)</f>
        <v>1447935.5387751644</v>
      </c>
      <c r="EJ56" s="4">
        <f t="shared" si="42"/>
        <v>1447.9355387751643</v>
      </c>
      <c r="EN56" s="3">
        <f t="shared" si="35"/>
        <v>384.73830386282788</v>
      </c>
      <c r="EO56">
        <v>6.749311568699385</v>
      </c>
      <c r="EP56">
        <f t="shared" si="36"/>
        <v>391.48761543152727</v>
      </c>
      <c r="EQ56">
        <f>SUM($EP$10:EP56)</f>
        <v>20548.716461837805</v>
      </c>
      <c r="ER56">
        <f t="shared" si="37"/>
        <v>491114323.43792349</v>
      </c>
      <c r="ES56" s="4">
        <f t="shared" si="38"/>
        <v>292.18846672939259</v>
      </c>
    </row>
    <row r="57" spans="1:149" x14ac:dyDescent="0.25">
      <c r="A57" s="41"/>
      <c r="B57" s="39">
        <v>2037</v>
      </c>
      <c r="C57">
        <v>364795028</v>
      </c>
      <c r="D57" s="40">
        <f t="shared" si="6"/>
        <v>364.795028</v>
      </c>
      <c r="E57" s="12">
        <f t="shared" si="102"/>
        <v>1006.8342772799999</v>
      </c>
      <c r="F57" s="5">
        <f t="shared" si="8"/>
        <v>463.14376754879999</v>
      </c>
      <c r="G57" s="13">
        <f t="shared" si="103"/>
        <v>372.52868259359997</v>
      </c>
      <c r="H57">
        <v>664</v>
      </c>
      <c r="I57" s="13">
        <f t="shared" si="104"/>
        <v>60.410056636799993</v>
      </c>
      <c r="J57">
        <v>88200</v>
      </c>
      <c r="K57" s="13">
        <v>0.46</v>
      </c>
      <c r="L57" s="14">
        <f t="shared" si="10"/>
        <v>-2337.1716570568601</v>
      </c>
      <c r="N57" s="7">
        <f t="shared" si="11"/>
        <v>707.44974676496929</v>
      </c>
      <c r="O57" s="5">
        <f t="shared" si="12"/>
        <v>634.3055946863999</v>
      </c>
      <c r="P57">
        <v>88200</v>
      </c>
      <c r="Q57" s="5">
        <v>0.46400000000000002</v>
      </c>
      <c r="R57" s="5">
        <f t="shared" si="13"/>
        <v>28952.239396407014</v>
      </c>
      <c r="S57" s="5">
        <f t="shared" si="14"/>
        <v>328.25668249894579</v>
      </c>
      <c r="T57" s="5">
        <f t="shared" si="15"/>
        <v>294.3177959344896</v>
      </c>
      <c r="U57" s="6">
        <f t="shared" si="16"/>
        <v>27287.410468794205</v>
      </c>
      <c r="W57" s="9">
        <f t="shared" si="17"/>
        <v>27287.410468794205</v>
      </c>
      <c r="AA57" s="19">
        <v>0.12</v>
      </c>
      <c r="AB57">
        <v>0.36</v>
      </c>
      <c r="AC57" s="6">
        <f t="shared" si="39"/>
        <v>1193.4830385793809</v>
      </c>
      <c r="AD57" s="5"/>
      <c r="AE57" s="5"/>
      <c r="AF57" s="5"/>
      <c r="AG57" s="5"/>
      <c r="AH57" s="13">
        <v>0.02</v>
      </c>
      <c r="AJ57" s="3">
        <v>1.7999999999999999E-2</v>
      </c>
      <c r="AK57">
        <f t="shared" si="18"/>
        <v>5.2977203268208122</v>
      </c>
      <c r="AL57" s="6">
        <f t="shared" si="19"/>
        <v>521.14030913532622</v>
      </c>
      <c r="AO57" s="5">
        <f t="shared" si="93"/>
        <v>14.398138384891524</v>
      </c>
      <c r="AP57" s="5">
        <f t="shared" si="20"/>
        <v>5689.3183687611545</v>
      </c>
      <c r="AQ57" s="5">
        <f t="shared" si="94"/>
        <v>-330.77820973945472</v>
      </c>
      <c r="AR57" s="6">
        <f t="shared" si="95"/>
        <v>348807.89112588507</v>
      </c>
      <c r="AS57" s="5"/>
      <c r="AT57" s="5"/>
      <c r="AV57" s="3">
        <f t="shared" si="96"/>
        <v>27608.220992751591</v>
      </c>
      <c r="AW57" s="5">
        <f t="shared" si="97"/>
        <v>467.17110465792001</v>
      </c>
      <c r="AX57" s="5">
        <v>448.74562916390846</v>
      </c>
      <c r="AZ57">
        <f t="shared" si="24"/>
        <v>0</v>
      </c>
      <c r="BA57" s="5">
        <f t="shared" si="25"/>
        <v>9.9676857820695428</v>
      </c>
      <c r="BB57" s="5">
        <f t="shared" si="26"/>
        <v>9.9676857820695428</v>
      </c>
      <c r="CZ57">
        <f t="shared" ref="CZ57:DW57" si="116">IF((CZ$8-$B57)&gt;0,_xlfn.LOGNORM.DIST((CZ$8-$B57+1),$BD$2,$BD$3,TRUE)-_xlfn.LOGNORM.DIST((CZ$8-$B57),$BD$2,$BD$3,TRUE),_xlfn.LOGNORM.DIST((CZ$8-$B57+1),$BD$2,$BD$3,TRUE))*$AW57</f>
        <v>5.6820971854649365</v>
      </c>
      <c r="DA57">
        <f t="shared" si="116"/>
        <v>23.954866369790523</v>
      </c>
      <c r="DB57">
        <f t="shared" si="116"/>
        <v>33.520240155725553</v>
      </c>
      <c r="DC57">
        <f t="shared" si="116"/>
        <v>35.66563449341092</v>
      </c>
      <c r="DD57">
        <f t="shared" si="116"/>
        <v>34.396531313231307</v>
      </c>
      <c r="DE57">
        <f t="shared" si="116"/>
        <v>31.773474637777163</v>
      </c>
      <c r="DF57">
        <f t="shared" si="116"/>
        <v>28.749320862522694</v>
      </c>
      <c r="DG57">
        <f t="shared" si="116"/>
        <v>25.750562927956608</v>
      </c>
      <c r="DH57">
        <f t="shared" si="116"/>
        <v>22.957001479833661</v>
      </c>
      <c r="DI57">
        <f t="shared" si="116"/>
        <v>20.432406660579673</v>
      </c>
      <c r="DJ57">
        <f t="shared" si="116"/>
        <v>18.186447975237346</v>
      </c>
      <c r="DK57">
        <f t="shared" si="116"/>
        <v>16.204569649113214</v>
      </c>
      <c r="DL57">
        <f t="shared" si="116"/>
        <v>14.462541791136537</v>
      </c>
      <c r="DM57">
        <f t="shared" si="116"/>
        <v>12.933510805587765</v>
      </c>
      <c r="DN57">
        <f t="shared" si="116"/>
        <v>11.591313832581495</v>
      </c>
      <c r="DO57">
        <f t="shared" si="116"/>
        <v>10.411916601565588</v>
      </c>
      <c r="DP57">
        <f t="shared" si="116"/>
        <v>9.373912489715412</v>
      </c>
      <c r="DQ57">
        <f t="shared" si="116"/>
        <v>8.4585627465792097</v>
      </c>
      <c r="DR57">
        <f t="shared" si="116"/>
        <v>7.6496252298425107</v>
      </c>
      <c r="DS57">
        <f t="shared" si="116"/>
        <v>6.933098704039165</v>
      </c>
      <c r="DT57">
        <f t="shared" si="116"/>
        <v>6.2969467844440032</v>
      </c>
      <c r="DU57">
        <f t="shared" si="116"/>
        <v>5.7308324566753699</v>
      </c>
      <c r="DV57">
        <f t="shared" si="116"/>
        <v>5.2258766938726726</v>
      </c>
      <c r="DW57" s="4">
        <f t="shared" si="116"/>
        <v>4.7744456824623001</v>
      </c>
      <c r="DZ57" s="8">
        <f t="shared" si="30"/>
        <v>552.16441985503184</v>
      </c>
      <c r="EB57" s="3">
        <f t="shared" si="31"/>
        <v>4342.8359094610523</v>
      </c>
      <c r="EF57" s="3">
        <f t="shared" si="32"/>
        <v>28129.361301886918</v>
      </c>
      <c r="EG57">
        <f t="shared" si="33"/>
        <v>0.86</v>
      </c>
      <c r="EH57">
        <f t="shared" si="34"/>
        <v>24191.250719622749</v>
      </c>
      <c r="EI57" s="4">
        <f>SUM($EH$10:EH57)</f>
        <v>1472126.7894947871</v>
      </c>
      <c r="EJ57" s="4">
        <f t="shared" si="42"/>
        <v>1472.1267894947871</v>
      </c>
      <c r="EN57" s="3">
        <f t="shared" si="35"/>
        <v>385.92124108096129</v>
      </c>
      <c r="EO57">
        <v>6.7827751820616493</v>
      </c>
      <c r="EP57">
        <f t="shared" si="36"/>
        <v>392.70401626302294</v>
      </c>
      <c r="EQ57">
        <f>SUM($EP$10:EP57)</f>
        <v>20941.420478100827</v>
      </c>
      <c r="ER57">
        <f t="shared" si="37"/>
        <v>500499949.42660975</v>
      </c>
      <c r="ES57" s="4">
        <f t="shared" si="38"/>
        <v>297.7724449113615</v>
      </c>
    </row>
    <row r="58" spans="1:149" x14ac:dyDescent="0.25">
      <c r="A58" s="41"/>
      <c r="B58" s="39">
        <v>2038</v>
      </c>
      <c r="C58">
        <v>366425732</v>
      </c>
      <c r="D58" s="40">
        <f t="shared" si="6"/>
        <v>366.42573199999998</v>
      </c>
      <c r="E58" s="12">
        <f t="shared" si="102"/>
        <v>1011.3350203199999</v>
      </c>
      <c r="F58" s="5">
        <f t="shared" si="8"/>
        <v>465.21410934719995</v>
      </c>
      <c r="G58" s="13">
        <f t="shared" si="103"/>
        <v>374.19395751839994</v>
      </c>
      <c r="H58">
        <v>664</v>
      </c>
      <c r="I58" s="13">
        <f t="shared" si="104"/>
        <v>60.68010121919999</v>
      </c>
      <c r="J58">
        <v>88200</v>
      </c>
      <c r="K58" s="13">
        <v>0.46</v>
      </c>
      <c r="L58" s="14">
        <f t="shared" si="10"/>
        <v>-2347.6192642809619</v>
      </c>
      <c r="N58" s="7">
        <f t="shared" si="11"/>
        <v>710.61218332057013</v>
      </c>
      <c r="O58" s="5">
        <f t="shared" si="12"/>
        <v>637.1410628015999</v>
      </c>
      <c r="P58">
        <v>88200</v>
      </c>
      <c r="Q58" s="5">
        <v>0.46400000000000002</v>
      </c>
      <c r="R58" s="5">
        <f t="shared" si="13"/>
        <v>29081.661479957671</v>
      </c>
      <c r="S58" s="5">
        <f t="shared" si="14"/>
        <v>329.72405306074455</v>
      </c>
      <c r="T58" s="5">
        <f t="shared" si="15"/>
        <v>295.63345313994239</v>
      </c>
      <c r="U58" s="6">
        <f t="shared" si="16"/>
        <v>27403.247455924338</v>
      </c>
      <c r="W58" s="9">
        <f t="shared" si="17"/>
        <v>27403.247455924338</v>
      </c>
      <c r="AA58" s="19">
        <v>0.12</v>
      </c>
      <c r="AB58">
        <v>0.36</v>
      </c>
      <c r="AC58" s="6">
        <f t="shared" si="39"/>
        <v>1192.6751468868686</v>
      </c>
      <c r="AD58" s="5"/>
      <c r="AE58" s="5"/>
      <c r="AF58" s="5"/>
      <c r="AG58" s="5"/>
      <c r="AH58" s="13">
        <v>0.02</v>
      </c>
      <c r="AJ58" s="3">
        <v>1.7999999999999999E-2</v>
      </c>
      <c r="AK58">
        <f t="shared" si="18"/>
        <v>5.3214021565189622</v>
      </c>
      <c r="AL58" s="6">
        <f t="shared" si="19"/>
        <v>523.46990663923805</v>
      </c>
      <c r="AO58" s="5">
        <f t="shared" si="93"/>
        <v>15.026842221816253</v>
      </c>
      <c r="AP58" s="5">
        <f t="shared" si="20"/>
        <v>5704.3452109829705</v>
      </c>
      <c r="AQ58" s="5">
        <f t="shared" si="94"/>
        <v>-207.39413532685271</v>
      </c>
      <c r="AR58" s="6">
        <f t="shared" si="95"/>
        <v>348600.49699055823</v>
      </c>
      <c r="AS58" s="5"/>
      <c r="AT58" s="5"/>
      <c r="AV58" s="3">
        <f t="shared" si="96"/>
        <v>27600.647578441549</v>
      </c>
      <c r="AW58" s="5">
        <f t="shared" si="97"/>
        <v>469.25944942847997</v>
      </c>
      <c r="AX58" s="5">
        <v>450.1872671253837</v>
      </c>
      <c r="AZ58">
        <f t="shared" si="24"/>
        <v>0</v>
      </c>
      <c r="BA58" s="5">
        <f t="shared" si="25"/>
        <v>9.9940128096421645</v>
      </c>
      <c r="BB58" s="5">
        <f t="shared" si="26"/>
        <v>9.9940128096421645</v>
      </c>
      <c r="DA58">
        <f t="shared" ref="DA58:DW58" si="117">IF((DA$8-$B58)&gt;0,_xlfn.LOGNORM.DIST((DA$8-$B58+1),$BD$2,$BD$3,TRUE)-_xlfn.LOGNORM.DIST((DA$8-$B58),$BD$2,$BD$3,TRUE),_xlfn.LOGNORM.DIST((DA$8-$B58+1),$BD$2,$BD$3,TRUE))*$AW58</f>
        <v>5.7074972537156645</v>
      </c>
      <c r="DB58">
        <f t="shared" si="117"/>
        <v>24.061949233893269</v>
      </c>
      <c r="DC58">
        <f t="shared" si="117"/>
        <v>33.670082082033005</v>
      </c>
      <c r="DD58">
        <f t="shared" si="117"/>
        <v>35.825066745406808</v>
      </c>
      <c r="DE58">
        <f t="shared" si="117"/>
        <v>34.550290429703175</v>
      </c>
      <c r="DF58">
        <f t="shared" si="117"/>
        <v>31.915508185958419</v>
      </c>
      <c r="DG58">
        <f t="shared" si="117"/>
        <v>28.877835861164066</v>
      </c>
      <c r="DH58">
        <f t="shared" si="117"/>
        <v>25.865672901354792</v>
      </c>
      <c r="DI58">
        <f t="shared" si="117"/>
        <v>23.059623695784396</v>
      </c>
      <c r="DJ58">
        <f t="shared" si="117"/>
        <v>20.523743451691402</v>
      </c>
      <c r="DK58">
        <f t="shared" si="117"/>
        <v>18.267744898667484</v>
      </c>
      <c r="DL58">
        <f t="shared" si="117"/>
        <v>16.277007194904236</v>
      </c>
      <c r="DM58">
        <f t="shared" si="117"/>
        <v>14.527192137053458</v>
      </c>
      <c r="DN58">
        <f t="shared" si="117"/>
        <v>12.991326088653286</v>
      </c>
      <c r="DO58">
        <f t="shared" si="117"/>
        <v>11.643129236798149</v>
      </c>
      <c r="DP58">
        <f t="shared" si="117"/>
        <v>10.458459873119825</v>
      </c>
      <c r="DQ58">
        <f t="shared" si="117"/>
        <v>9.4158156830687716</v>
      </c>
      <c r="DR58">
        <f t="shared" si="117"/>
        <v>8.4963741503714161</v>
      </c>
      <c r="DS58">
        <f t="shared" si="117"/>
        <v>7.6838205272104476</v>
      </c>
      <c r="DT58">
        <f t="shared" si="117"/>
        <v>6.9640909899018748</v>
      </c>
      <c r="DU58">
        <f t="shared" si="117"/>
        <v>6.3250953487637442</v>
      </c>
      <c r="DV58">
        <f t="shared" si="117"/>
        <v>5.7564503809701888</v>
      </c>
      <c r="DW58" s="4">
        <f t="shared" si="117"/>
        <v>5.2492373687012917</v>
      </c>
      <c r="DZ58" s="8">
        <f t="shared" si="30"/>
        <v>552.012951568831</v>
      </c>
      <c r="EB58" s="3">
        <f t="shared" si="31"/>
        <v>4362.2492219936503</v>
      </c>
      <c r="EF58" s="3">
        <f t="shared" si="32"/>
        <v>28124.117485080787</v>
      </c>
      <c r="EG58">
        <f t="shared" si="33"/>
        <v>0.86</v>
      </c>
      <c r="EH58">
        <f t="shared" si="34"/>
        <v>24186.741037169475</v>
      </c>
      <c r="EI58" s="4">
        <f>SUM($EH$10:EH58)</f>
        <v>1496313.5305319566</v>
      </c>
      <c r="EJ58" s="4">
        <f t="shared" si="42"/>
        <v>1496.3135305319565</v>
      </c>
      <c r="EN58" s="3">
        <f t="shared" si="35"/>
        <v>387.16104972782995</v>
      </c>
      <c r="EO58">
        <v>6.8160694031228983</v>
      </c>
      <c r="EP58">
        <f t="shared" si="36"/>
        <v>393.97711913095287</v>
      </c>
      <c r="EQ58">
        <f>SUM($EP$10:EP58)</f>
        <v>21335.397597231778</v>
      </c>
      <c r="ER58">
        <f t="shared" si="37"/>
        <v>509916002.57383943</v>
      </c>
      <c r="ES58" s="4">
        <f t="shared" si="38"/>
        <v>303.37452573130577</v>
      </c>
    </row>
    <row r="59" spans="1:149" x14ac:dyDescent="0.25">
      <c r="A59" s="41"/>
      <c r="B59" s="39">
        <v>2039</v>
      </c>
      <c r="C59">
        <v>368018352</v>
      </c>
      <c r="D59" s="40">
        <f t="shared" si="6"/>
        <v>368.01835199999999</v>
      </c>
      <c r="E59" s="12">
        <f t="shared" si="102"/>
        <v>1015.7306515199999</v>
      </c>
      <c r="F59" s="5">
        <f t="shared" si="8"/>
        <v>467.2360996992</v>
      </c>
      <c r="G59" s="13">
        <f t="shared" si="103"/>
        <v>375.82034106239996</v>
      </c>
      <c r="H59">
        <v>664</v>
      </c>
      <c r="I59" s="13">
        <f t="shared" si="104"/>
        <v>60.94383909119999</v>
      </c>
      <c r="J59">
        <v>88200</v>
      </c>
      <c r="K59" s="13">
        <v>0.46</v>
      </c>
      <c r="L59" s="14">
        <f t="shared" si="10"/>
        <v>-2357.8228746340669</v>
      </c>
      <c r="N59" s="7">
        <f t="shared" si="11"/>
        <v>713.70076328798359</v>
      </c>
      <c r="O59" s="5">
        <f t="shared" si="12"/>
        <v>639.91031045759996</v>
      </c>
      <c r="P59">
        <v>88200</v>
      </c>
      <c r="Q59" s="5">
        <v>0.46400000000000002</v>
      </c>
      <c r="R59" s="5">
        <f t="shared" si="13"/>
        <v>29208.060997408073</v>
      </c>
      <c r="S59" s="5">
        <f t="shared" si="14"/>
        <v>331.15715416562438</v>
      </c>
      <c r="T59" s="5">
        <f t="shared" si="15"/>
        <v>296.91838405232642</v>
      </c>
      <c r="U59" s="6">
        <f t="shared" si="16"/>
        <v>27516.841000209333</v>
      </c>
      <c r="W59" s="9">
        <f t="shared" si="17"/>
        <v>27516.841000209333</v>
      </c>
      <c r="AA59" s="19">
        <v>0.12</v>
      </c>
      <c r="AB59">
        <v>0.36</v>
      </c>
      <c r="AC59" s="6">
        <f t="shared" si="39"/>
        <v>1192.3479753886747</v>
      </c>
      <c r="AD59" s="5"/>
      <c r="AE59" s="5"/>
      <c r="AF59" s="5"/>
      <c r="AG59" s="5"/>
      <c r="AH59" s="13">
        <v>0.02</v>
      </c>
      <c r="AJ59" s="3">
        <v>1.7999999999999999E-2</v>
      </c>
      <c r="AK59">
        <f t="shared" si="18"/>
        <v>5.3445309129418748</v>
      </c>
      <c r="AL59" s="6">
        <f t="shared" si="19"/>
        <v>525.74509795334529</v>
      </c>
      <c r="AO59" s="5">
        <f t="shared" si="93"/>
        <v>15.552962863103176</v>
      </c>
      <c r="AP59" s="5">
        <f t="shared" si="20"/>
        <v>5719.8981738460734</v>
      </c>
      <c r="AQ59" s="5">
        <f t="shared" si="94"/>
        <v>-96.167135354430684</v>
      </c>
      <c r="AR59" s="6">
        <f t="shared" si="95"/>
        <v>348504.3298552038</v>
      </c>
      <c r="AS59" s="5"/>
      <c r="AT59" s="5"/>
      <c r="AV59" s="3">
        <f t="shared" si="96"/>
        <v>27602.986873963186</v>
      </c>
      <c r="AW59" s="5">
        <f t="shared" si="97"/>
        <v>471.29902230528</v>
      </c>
      <c r="AX59" s="5">
        <v>451.68313683609682</v>
      </c>
      <c r="AZ59">
        <f t="shared" si="24"/>
        <v>0</v>
      </c>
      <c r="BA59" s="5">
        <f t="shared" si="25"/>
        <v>10.02126160057832</v>
      </c>
      <c r="BB59" s="5">
        <f t="shared" si="26"/>
        <v>10.02126160057832</v>
      </c>
      <c r="DB59">
        <f t="shared" ref="DB59:DW59" si="118">IF((DB$8-$B59)&gt;0,_xlfn.LOGNORM.DIST((DB$8-$B59+1),$BD$2,$BD$3,TRUE)-_xlfn.LOGNORM.DIST((DB$8-$B59),$BD$2,$BD$3,TRUE),_xlfn.LOGNORM.DIST((DB$8-$B59+1),$BD$2,$BD$3,TRUE))*$AW59</f>
        <v>5.7323041203802925</v>
      </c>
      <c r="DC59">
        <f t="shared" si="118"/>
        <v>24.166531249407626</v>
      </c>
      <c r="DD59">
        <f t="shared" si="118"/>
        <v>33.816424550485763</v>
      </c>
      <c r="DE59">
        <f t="shared" si="118"/>
        <v>35.980775563913227</v>
      </c>
      <c r="DF59">
        <f t="shared" si="118"/>
        <v>34.700458604967004</v>
      </c>
      <c r="DG59">
        <f t="shared" si="118"/>
        <v>32.054224635727621</v>
      </c>
      <c r="DH59">
        <f t="shared" si="118"/>
        <v>29.003349478065861</v>
      </c>
      <c r="DI59">
        <f t="shared" si="118"/>
        <v>25.978094558401946</v>
      </c>
      <c r="DJ59">
        <f t="shared" si="118"/>
        <v>23.159849238597477</v>
      </c>
      <c r="DK59">
        <f t="shared" si="118"/>
        <v>20.612947133205868</v>
      </c>
      <c r="DL59">
        <f t="shared" si="118"/>
        <v>18.347143186887362</v>
      </c>
      <c r="DM59">
        <f t="shared" si="118"/>
        <v>16.347753010317518</v>
      </c>
      <c r="DN59">
        <f t="shared" si="118"/>
        <v>14.590332617431388</v>
      </c>
      <c r="DO59">
        <f t="shared" si="118"/>
        <v>13.047791134495949</v>
      </c>
      <c r="DP59">
        <f t="shared" si="118"/>
        <v>11.693734526944938</v>
      </c>
      <c r="DQ59">
        <f t="shared" si="118"/>
        <v>10.503916157732304</v>
      </c>
      <c r="DR59">
        <f t="shared" si="118"/>
        <v>9.4567402553997599</v>
      </c>
      <c r="DS59">
        <f t="shared" si="118"/>
        <v>8.5333024941465876</v>
      </c>
      <c r="DT59">
        <f t="shared" si="118"/>
        <v>7.7172172163055412</v>
      </c>
      <c r="DU59">
        <f t="shared" si="118"/>
        <v>6.9943594716807089</v>
      </c>
      <c r="DV59">
        <f t="shared" si="118"/>
        <v>6.3525865222120883</v>
      </c>
      <c r="DW59" s="4">
        <f t="shared" si="118"/>
        <v>5.7814700157968737</v>
      </c>
      <c r="DZ59" s="8">
        <f t="shared" si="30"/>
        <v>552.05973747926373</v>
      </c>
      <c r="EB59" s="3">
        <f t="shared" si="31"/>
        <v>4381.2091496112107</v>
      </c>
      <c r="EF59" s="3">
        <f t="shared" si="32"/>
        <v>28128.731971916532</v>
      </c>
      <c r="EG59">
        <f t="shared" si="33"/>
        <v>0.86</v>
      </c>
      <c r="EH59">
        <f t="shared" si="34"/>
        <v>24190.709495848216</v>
      </c>
      <c r="EI59" s="4">
        <f>SUM($EH$10:EH59)</f>
        <v>1520504.2400278049</v>
      </c>
      <c r="EJ59" s="4">
        <f t="shared" si="42"/>
        <v>1520.5042400278048</v>
      </c>
      <c r="EN59" s="3">
        <f t="shared" si="35"/>
        <v>388.44749767904324</v>
      </c>
      <c r="EO59">
        <v>6.849320480622322</v>
      </c>
      <c r="EP59">
        <f t="shared" si="36"/>
        <v>395.29681815966558</v>
      </c>
      <c r="EQ59">
        <f>SUM($EP$10:EP59)</f>
        <v>21730.694415391445</v>
      </c>
      <c r="ER59">
        <f t="shared" si="37"/>
        <v>519363596.52785552</v>
      </c>
      <c r="ES59" s="4">
        <f t="shared" si="38"/>
        <v>308.99537175424757</v>
      </c>
    </row>
    <row r="60" spans="1:149" x14ac:dyDescent="0.25">
      <c r="A60" s="41"/>
      <c r="B60" s="39">
        <v>2040</v>
      </c>
      <c r="C60">
        <v>369574948</v>
      </c>
      <c r="D60" s="40">
        <f t="shared" si="6"/>
        <v>369.57494800000001</v>
      </c>
      <c r="E60" s="12">
        <f t="shared" si="102"/>
        <v>1020.02685648</v>
      </c>
      <c r="F60" s="5">
        <f t="shared" si="8"/>
        <v>469.2123539808</v>
      </c>
      <c r="G60" s="13">
        <f t="shared" si="103"/>
        <v>377.40993689760001</v>
      </c>
      <c r="H60">
        <v>664</v>
      </c>
      <c r="I60" s="13">
        <f t="shared" si="104"/>
        <v>61.201611388799996</v>
      </c>
      <c r="J60">
        <v>88200</v>
      </c>
      <c r="K60" s="13">
        <v>0.46</v>
      </c>
      <c r="L60" s="14">
        <f t="shared" si="10"/>
        <v>-2367.7956861403909</v>
      </c>
      <c r="N60" s="7">
        <f t="shared" si="11"/>
        <v>716.71948164073319</v>
      </c>
      <c r="O60" s="5">
        <f t="shared" si="12"/>
        <v>642.61691958239999</v>
      </c>
      <c r="P60">
        <v>88200</v>
      </c>
      <c r="Q60" s="5">
        <v>0.46400000000000002</v>
      </c>
      <c r="R60" s="5">
        <f t="shared" si="13"/>
        <v>29331.601442250678</v>
      </c>
      <c r="S60" s="5">
        <f t="shared" si="14"/>
        <v>332.55783948130022</v>
      </c>
      <c r="T60" s="5">
        <f t="shared" si="15"/>
        <v>298.17425068623362</v>
      </c>
      <c r="U60" s="6">
        <f t="shared" si="16"/>
        <v>27628.285963104983</v>
      </c>
      <c r="W60" s="9">
        <f t="shared" si="17"/>
        <v>27628.285963104983</v>
      </c>
      <c r="AA60" s="19">
        <v>0.12</v>
      </c>
      <c r="AB60">
        <v>0.36</v>
      </c>
      <c r="AC60" s="6">
        <f t="shared" si="39"/>
        <v>1192.4490329552095</v>
      </c>
      <c r="AD60" s="5"/>
      <c r="AE60" s="5"/>
      <c r="AF60" s="5"/>
      <c r="AG60" s="5"/>
      <c r="AH60" s="13">
        <v>0.02</v>
      </c>
      <c r="AJ60" s="3">
        <v>1.7999999999999999E-2</v>
      </c>
      <c r="AK60">
        <f t="shared" si="18"/>
        <v>5.3671365123522046</v>
      </c>
      <c r="AL60" s="6">
        <f t="shared" si="19"/>
        <v>527.96882596051216</v>
      </c>
      <c r="AO60" s="5">
        <f t="shared" si="93"/>
        <v>15.989221048279774</v>
      </c>
      <c r="AP60" s="5">
        <f t="shared" si="20"/>
        <v>5735.8873948943528</v>
      </c>
      <c r="AQ60" s="5">
        <f t="shared" si="94"/>
        <v>4.0695446901719805</v>
      </c>
      <c r="AR60" s="6">
        <f t="shared" si="95"/>
        <v>348508.399399894</v>
      </c>
      <c r="AS60" s="5"/>
      <c r="AT60" s="5"/>
      <c r="AV60" s="3">
        <f t="shared" si="96"/>
        <v>27614.167143698956</v>
      </c>
      <c r="AW60" s="5">
        <f t="shared" si="97"/>
        <v>473.29246140672001</v>
      </c>
      <c r="AX60" s="5">
        <v>453.22313293252023</v>
      </c>
      <c r="AZ60">
        <f t="shared" si="24"/>
        <v>0</v>
      </c>
      <c r="BA60" s="5">
        <f t="shared" si="25"/>
        <v>10.049274715854907</v>
      </c>
      <c r="BB60" s="5">
        <f t="shared" si="26"/>
        <v>10.049274715854907</v>
      </c>
      <c r="DC60">
        <f t="shared" ref="DC60:DW60" si="119">IF((DC$8-$B60)&gt;0,_xlfn.LOGNORM.DIST((DC$8-$B60+1),$BD$2,$BD$3,TRUE)-_xlfn.LOGNORM.DIST((DC$8-$B60),$BD$2,$BD$3,TRUE),_xlfn.LOGNORM.DIST((DC$8-$B60+1),$BD$2,$BD$3,TRUE))*$AW60</f>
        <v>5.7565498723002069</v>
      </c>
      <c r="DD60">
        <f t="shared" si="119"/>
        <v>24.268747689626625</v>
      </c>
      <c r="DE60">
        <f t="shared" si="119"/>
        <v>33.959456850107571</v>
      </c>
      <c r="DF60">
        <f t="shared" si="119"/>
        <v>36.132962353010328</v>
      </c>
      <c r="DG60">
        <f t="shared" si="119"/>
        <v>34.847230076468669</v>
      </c>
      <c r="DH60">
        <f t="shared" si="119"/>
        <v>32.189803412111786</v>
      </c>
      <c r="DI60">
        <f t="shared" si="119"/>
        <v>29.126024060838187</v>
      </c>
      <c r="DJ60">
        <f t="shared" si="119"/>
        <v>26.087973312701759</v>
      </c>
      <c r="DK60">
        <f t="shared" si="119"/>
        <v>23.25780774661613</v>
      </c>
      <c r="DL60">
        <f t="shared" si="119"/>
        <v>20.700133087062213</v>
      </c>
      <c r="DM60">
        <f t="shared" si="119"/>
        <v>18.424745538892179</v>
      </c>
      <c r="DN60">
        <f t="shared" si="119"/>
        <v>16.416898602667892</v>
      </c>
      <c r="DO60">
        <f t="shared" si="119"/>
        <v>14.652044902342015</v>
      </c>
      <c r="DP60">
        <f t="shared" si="119"/>
        <v>13.102978978739086</v>
      </c>
      <c r="DQ60">
        <f t="shared" si="119"/>
        <v>11.743195159249776</v>
      </c>
      <c r="DR60">
        <f t="shared" si="119"/>
        <v>10.548344251566769</v>
      </c>
      <c r="DS60">
        <f t="shared" si="119"/>
        <v>9.4967391412558495</v>
      </c>
      <c r="DT60">
        <f t="shared" si="119"/>
        <v>8.5693955434659834</v>
      </c>
      <c r="DU60">
        <f t="shared" si="119"/>
        <v>7.7498584946134024</v>
      </c>
      <c r="DV60">
        <f t="shared" si="119"/>
        <v>7.02394330063112</v>
      </c>
      <c r="DW60" s="4">
        <f t="shared" si="119"/>
        <v>6.3794558636902794</v>
      </c>
      <c r="DZ60" s="8">
        <f t="shared" si="30"/>
        <v>552.28334287397911</v>
      </c>
      <c r="EB60" s="3">
        <f t="shared" si="31"/>
        <v>4399.7402163376019</v>
      </c>
      <c r="EF60" s="3">
        <f t="shared" si="32"/>
        <v>28142.13596965947</v>
      </c>
      <c r="EG60">
        <f t="shared" si="33"/>
        <v>0.86</v>
      </c>
      <c r="EH60">
        <f t="shared" si="34"/>
        <v>24202.236933907145</v>
      </c>
      <c r="EI60" s="4">
        <f>SUM($EH$10:EH60)</f>
        <v>1544706.4769617119</v>
      </c>
      <c r="EJ60" s="4">
        <f t="shared" si="42"/>
        <v>1544.7064769617118</v>
      </c>
      <c r="EN60" s="3">
        <f t="shared" si="35"/>
        <v>389.77189432196741</v>
      </c>
      <c r="EO60">
        <v>6.8824437587039204</v>
      </c>
      <c r="EP60">
        <f t="shared" si="36"/>
        <v>396.65433808067132</v>
      </c>
      <c r="EQ60">
        <f>SUM($EP$10:EP60)</f>
        <v>22127.348753472117</v>
      </c>
      <c r="ER60">
        <f t="shared" si="37"/>
        <v>528843635.20798355</v>
      </c>
      <c r="ES60" s="4">
        <f t="shared" si="38"/>
        <v>314.63552076698983</v>
      </c>
    </row>
    <row r="61" spans="1:149" x14ac:dyDescent="0.25">
      <c r="A61" s="41"/>
      <c r="B61" s="39">
        <v>2041</v>
      </c>
      <c r="C61">
        <v>371098207</v>
      </c>
      <c r="D61" s="40">
        <f t="shared" si="6"/>
        <v>371.098207</v>
      </c>
      <c r="E61" s="12">
        <f t="shared" si="102"/>
        <v>1024.23105132</v>
      </c>
      <c r="F61" s="5">
        <f t="shared" si="8"/>
        <v>471.14628360720002</v>
      </c>
      <c r="G61" s="13">
        <f t="shared" si="103"/>
        <v>378.96548898840001</v>
      </c>
      <c r="H61">
        <v>664</v>
      </c>
      <c r="I61" s="13">
        <f t="shared" si="104"/>
        <v>61.453863079199998</v>
      </c>
      <c r="J61">
        <v>88200</v>
      </c>
      <c r="K61" s="13">
        <v>0.46</v>
      </c>
      <c r="L61" s="14">
        <f t="shared" si="10"/>
        <v>-2377.5549138926858</v>
      </c>
      <c r="N61" s="7">
        <f t="shared" si="11"/>
        <v>719.67354929816702</v>
      </c>
      <c r="O61" s="5">
        <f t="shared" si="12"/>
        <v>645.26556233159999</v>
      </c>
      <c r="P61">
        <v>88200</v>
      </c>
      <c r="Q61" s="5">
        <v>0.46400000000000002</v>
      </c>
      <c r="R61" s="5">
        <f t="shared" si="13"/>
        <v>29452.496070317629</v>
      </c>
      <c r="S61" s="5">
        <f t="shared" si="14"/>
        <v>333.92852687434953</v>
      </c>
      <c r="T61" s="5">
        <f t="shared" si="15"/>
        <v>299.40322092186238</v>
      </c>
      <c r="U61" s="6">
        <f t="shared" si="16"/>
        <v>27737.72824776702</v>
      </c>
      <c r="W61" s="9">
        <f t="shared" si="17"/>
        <v>27737.72824776702</v>
      </c>
      <c r="AA61" s="19">
        <v>0.12</v>
      </c>
      <c r="AB61">
        <v>0.36</v>
      </c>
      <c r="AC61" s="6">
        <f t="shared" si="39"/>
        <v>1192.9320206077948</v>
      </c>
      <c r="AD61" s="5"/>
      <c r="AE61" s="5"/>
      <c r="AF61" s="5"/>
      <c r="AG61" s="5"/>
      <c r="AH61" s="13">
        <v>0.02</v>
      </c>
      <c r="AJ61" s="3">
        <v>1.7999999999999999E-2</v>
      </c>
      <c r="AK61">
        <f t="shared" si="18"/>
        <v>5.3892579765935222</v>
      </c>
      <c r="AL61" s="6">
        <f t="shared" si="19"/>
        <v>530.14492926571734</v>
      </c>
      <c r="AO61" s="5">
        <f t="shared" si="93"/>
        <v>16.347643508097292</v>
      </c>
      <c r="AP61" s="5">
        <f t="shared" si="20"/>
        <v>5752.2350384024503</v>
      </c>
      <c r="AQ61" s="5">
        <f t="shared" si="94"/>
        <v>94.411532474660916</v>
      </c>
      <c r="AR61" s="6">
        <f t="shared" si="95"/>
        <v>348602.81093236868</v>
      </c>
      <c r="AS61" s="5"/>
      <c r="AT61" s="5"/>
      <c r="AV61" s="3">
        <f t="shared" si="96"/>
        <v>27633.238799505078</v>
      </c>
      <c r="AW61" s="5">
        <f t="shared" si="97"/>
        <v>475.24320781248002</v>
      </c>
      <c r="AX61" s="5">
        <v>454.79864009910273</v>
      </c>
      <c r="AZ61">
        <f t="shared" si="24"/>
        <v>0</v>
      </c>
      <c r="BA61" s="5">
        <f t="shared" si="25"/>
        <v>10.077915787281094</v>
      </c>
      <c r="BB61" s="5">
        <f t="shared" si="26"/>
        <v>10.077915787281094</v>
      </c>
      <c r="DD61">
        <f t="shared" ref="DD61:DW61" si="120">IF((DD$8-$B61)&gt;0,_xlfn.LOGNORM.DIST((DD$8-$B61+1),$BD$2,$BD$3,TRUE)-_xlfn.LOGNORM.DIST((DD$8-$B61),$BD$2,$BD$3,TRUE),_xlfn.LOGNORM.DIST((DD$8-$B61+1),$BD$2,$BD$3,TRUE))*$AW61</f>
        <v>5.7802763625544387</v>
      </c>
      <c r="DE61">
        <f t="shared" si="120"/>
        <v>24.368775000831047</v>
      </c>
      <c r="DF61">
        <f t="shared" si="120"/>
        <v>34.099425883620199</v>
      </c>
      <c r="DG61">
        <f t="shared" si="120"/>
        <v>36.28188981792303</v>
      </c>
      <c r="DH61">
        <f t="shared" si="120"/>
        <v>34.990858201498</v>
      </c>
      <c r="DI61">
        <f t="shared" si="120"/>
        <v>32.322478551541771</v>
      </c>
      <c r="DJ61">
        <f t="shared" si="120"/>
        <v>29.24607137065987</v>
      </c>
      <c r="DK61">
        <f t="shared" si="120"/>
        <v>26.195498837241189</v>
      </c>
      <c r="DL61">
        <f t="shared" si="120"/>
        <v>23.353668316067672</v>
      </c>
      <c r="DM61">
        <f t="shared" si="120"/>
        <v>20.785451813877174</v>
      </c>
      <c r="DN61">
        <f t="shared" si="120"/>
        <v>18.500685912060622</v>
      </c>
      <c r="DO61">
        <f t="shared" si="120"/>
        <v>16.484563331253884</v>
      </c>
      <c r="DP61">
        <f t="shared" si="120"/>
        <v>14.712435519689533</v>
      </c>
      <c r="DQ61">
        <f t="shared" si="120"/>
        <v>13.156984886780709</v>
      </c>
      <c r="DR61">
        <f t="shared" si="120"/>
        <v>11.791596512782764</v>
      </c>
      <c r="DS61">
        <f t="shared" si="120"/>
        <v>10.591820846512533</v>
      </c>
      <c r="DT61">
        <f t="shared" si="120"/>
        <v>9.535881386816202</v>
      </c>
      <c r="DU61">
        <f t="shared" si="120"/>
        <v>8.6047156022437346</v>
      </c>
      <c r="DV61">
        <f t="shared" si="120"/>
        <v>7.7818007075922058</v>
      </c>
      <c r="DW61" s="4">
        <f t="shared" si="120"/>
        <v>7.0528935444343777</v>
      </c>
      <c r="DZ61" s="8">
        <f t="shared" si="30"/>
        <v>552.66477599010159</v>
      </c>
      <c r="EB61" s="3">
        <f t="shared" si="31"/>
        <v>4417.8744105476444</v>
      </c>
      <c r="EF61" s="3">
        <f t="shared" si="32"/>
        <v>28163.383728770794</v>
      </c>
      <c r="EG61">
        <f t="shared" si="33"/>
        <v>0.86</v>
      </c>
      <c r="EH61">
        <f t="shared" si="34"/>
        <v>24220.510006742883</v>
      </c>
      <c r="EI61" s="4">
        <f>SUM($EH$10:EH61)</f>
        <v>1568926.9869684547</v>
      </c>
      <c r="EJ61" s="4">
        <f t="shared" si="42"/>
        <v>1568.9269869684547</v>
      </c>
      <c r="EN61" s="3">
        <f t="shared" si="35"/>
        <v>391.12683048522831</v>
      </c>
      <c r="EO61">
        <v>6.9082582925097435</v>
      </c>
      <c r="EP61">
        <f t="shared" si="36"/>
        <v>398.03508877773805</v>
      </c>
      <c r="EQ61">
        <f>SUM($EP$10:EP61)</f>
        <v>22525.383842249856</v>
      </c>
      <c r="ER61">
        <f t="shared" si="37"/>
        <v>538356673.82977152</v>
      </c>
      <c r="ES61" s="4">
        <f t="shared" si="38"/>
        <v>320.29530309502258</v>
      </c>
    </row>
    <row r="62" spans="1:149" x14ac:dyDescent="0.25">
      <c r="A62" s="41"/>
      <c r="B62" s="39">
        <v>2042</v>
      </c>
      <c r="C62">
        <v>372591930</v>
      </c>
      <c r="D62" s="40">
        <f t="shared" si="6"/>
        <v>372.59192999999999</v>
      </c>
      <c r="E62" s="12">
        <f t="shared" si="102"/>
        <v>1028.3537268</v>
      </c>
      <c r="F62" s="5">
        <f t="shared" si="8"/>
        <v>473.04271432800005</v>
      </c>
      <c r="G62" s="13">
        <f t="shared" si="103"/>
        <v>380.49087891599999</v>
      </c>
      <c r="H62">
        <v>664</v>
      </c>
      <c r="I62" s="13">
        <f t="shared" si="104"/>
        <v>61.701223607999999</v>
      </c>
      <c r="J62">
        <v>88200</v>
      </c>
      <c r="K62" s="13">
        <v>0.46</v>
      </c>
      <c r="L62" s="14">
        <f t="shared" si="10"/>
        <v>-2387.1249101676731</v>
      </c>
      <c r="N62" s="7">
        <f t="shared" si="11"/>
        <v>722.57033756822818</v>
      </c>
      <c r="O62" s="5">
        <f t="shared" si="12"/>
        <v>647.86284788400008</v>
      </c>
      <c r="P62">
        <v>88200</v>
      </c>
      <c r="Q62" s="5">
        <v>0.46400000000000002</v>
      </c>
      <c r="R62" s="5">
        <f t="shared" si="13"/>
        <v>29571.046550912226</v>
      </c>
      <c r="S62" s="5">
        <f t="shared" si="14"/>
        <v>335.27263663165792</v>
      </c>
      <c r="T62" s="5">
        <f t="shared" si="15"/>
        <v>300.60836141817606</v>
      </c>
      <c r="U62" s="6">
        <f t="shared" si="16"/>
        <v>27845.398718966753</v>
      </c>
      <c r="W62" s="9">
        <f t="shared" si="17"/>
        <v>27845.398718966753</v>
      </c>
      <c r="AA62" s="19">
        <v>0.12</v>
      </c>
      <c r="AB62">
        <v>0.36</v>
      </c>
      <c r="AC62" s="6">
        <f t="shared" si="39"/>
        <v>1193.7559161386191</v>
      </c>
      <c r="AD62" s="5"/>
      <c r="AE62" s="5"/>
      <c r="AF62" s="5"/>
      <c r="AG62" s="5"/>
      <c r="AH62" s="13">
        <v>0.02</v>
      </c>
      <c r="AJ62" s="3">
        <v>1.7999999999999999E-2</v>
      </c>
      <c r="AK62">
        <f t="shared" si="18"/>
        <v>5.4109505055271683</v>
      </c>
      <c r="AL62" s="6">
        <f t="shared" si="19"/>
        <v>532.27883791642</v>
      </c>
      <c r="AO62" s="5">
        <f t="shared" si="93"/>
        <v>16.640365692653972</v>
      </c>
      <c r="AP62" s="5">
        <f t="shared" si="20"/>
        <v>5768.8754040951044</v>
      </c>
      <c r="AQ62" s="5">
        <f t="shared" si="94"/>
        <v>175.93131571375426</v>
      </c>
      <c r="AR62" s="6">
        <f t="shared" si="95"/>
        <v>348778.74224808242</v>
      </c>
      <c r="AS62" s="5"/>
      <c r="AT62" s="5"/>
      <c r="AV62" s="3">
        <f t="shared" si="96"/>
        <v>27659.360333545024</v>
      </c>
      <c r="AW62" s="5">
        <f t="shared" si="97"/>
        <v>477.15612923520001</v>
      </c>
      <c r="AX62" s="5">
        <v>456.40234863534607</v>
      </c>
      <c r="AZ62">
        <f t="shared" si="24"/>
        <v>0</v>
      </c>
      <c r="BA62" s="5">
        <f t="shared" si="25"/>
        <v>10.107069707974622</v>
      </c>
      <c r="BB62" s="5">
        <f t="shared" si="26"/>
        <v>10.107069707974622</v>
      </c>
      <c r="DE62">
        <f t="shared" ref="DE62:DW62" si="121">IF((DE$8-$B62)&gt;0,_xlfn.LOGNORM.DIST((DE$8-$B62+1),$BD$2,$BD$3,TRUE)-_xlfn.LOGNORM.DIST((DE$8-$B62),$BD$2,$BD$3,TRUE),_xlfn.LOGNORM.DIST((DE$8-$B62+1),$BD$2,$BD$3,TRUE))*$AW62</f>
        <v>5.8035427960381867</v>
      </c>
      <c r="DF62">
        <f t="shared" si="121"/>
        <v>24.466862781946535</v>
      </c>
      <c r="DG62">
        <f t="shared" si="121"/>
        <v>34.236680916838829</v>
      </c>
      <c r="DH62">
        <f t="shared" si="121"/>
        <v>36.427929578509904</v>
      </c>
      <c r="DI62">
        <f t="shared" si="121"/>
        <v>35.131701376429632</v>
      </c>
      <c r="DJ62">
        <f t="shared" si="121"/>
        <v>32.452581119322282</v>
      </c>
      <c r="DK62">
        <f t="shared" si="121"/>
        <v>29.363790962514422</v>
      </c>
      <c r="DL62">
        <f t="shared" si="121"/>
        <v>26.300939441295792</v>
      </c>
      <c r="DM62">
        <f t="shared" si="121"/>
        <v>23.447670148574723</v>
      </c>
      <c r="DN62">
        <f t="shared" si="121"/>
        <v>20.869116210131669</v>
      </c>
      <c r="DO62">
        <f t="shared" si="121"/>
        <v>18.575153800994993</v>
      </c>
      <c r="DP62">
        <f t="shared" si="121"/>
        <v>16.550916040397667</v>
      </c>
      <c r="DQ62">
        <f t="shared" si="121"/>
        <v>14.771655162649912</v>
      </c>
      <c r="DR62">
        <f t="shared" si="121"/>
        <v>13.209943619982123</v>
      </c>
      <c r="DS62">
        <f t="shared" si="121"/>
        <v>11.839059363816865</v>
      </c>
      <c r="DT62">
        <f t="shared" si="121"/>
        <v>10.634454430054248</v>
      </c>
      <c r="DU62">
        <f t="shared" si="121"/>
        <v>9.5742646640298243</v>
      </c>
      <c r="DV62">
        <f t="shared" si="121"/>
        <v>8.6393508048965213</v>
      </c>
      <c r="DW62" s="4">
        <f t="shared" si="121"/>
        <v>7.8131235608938034</v>
      </c>
      <c r="DZ62" s="8">
        <f t="shared" si="30"/>
        <v>553.18720667090054</v>
      </c>
      <c r="EB62" s="3">
        <f t="shared" si="31"/>
        <v>4435.6569826368341</v>
      </c>
      <c r="EF62" s="3">
        <f t="shared" si="32"/>
        <v>28191.639171461444</v>
      </c>
      <c r="EG62">
        <f t="shared" si="33"/>
        <v>0.86</v>
      </c>
      <c r="EH62">
        <f t="shared" si="34"/>
        <v>24244.80968745684</v>
      </c>
      <c r="EI62" s="4">
        <f>SUM($EH$10:EH62)</f>
        <v>1593171.7966559115</v>
      </c>
      <c r="EJ62" s="4">
        <f t="shared" si="42"/>
        <v>1593.1717966559115</v>
      </c>
      <c r="EN62" s="3">
        <f t="shared" si="35"/>
        <v>392.50601982639762</v>
      </c>
      <c r="EO62">
        <v>6.9343322464954014</v>
      </c>
      <c r="EP62">
        <f t="shared" si="36"/>
        <v>399.44035207289301</v>
      </c>
      <c r="EQ62">
        <f>SUM($EP$10:EP62)</f>
        <v>22924.824194322748</v>
      </c>
      <c r="ER62">
        <f t="shared" si="37"/>
        <v>547903298.24431372</v>
      </c>
      <c r="ES62" s="4">
        <f t="shared" si="38"/>
        <v>325.97506729045438</v>
      </c>
    </row>
    <row r="63" spans="1:149" x14ac:dyDescent="0.25">
      <c r="A63" s="41"/>
      <c r="B63" s="39">
        <v>2043</v>
      </c>
      <c r="C63">
        <v>374060347</v>
      </c>
      <c r="D63" s="40">
        <f t="shared" si="6"/>
        <v>374.06034699999998</v>
      </c>
      <c r="E63" s="12">
        <f t="shared" si="102"/>
        <v>1032.4065577199999</v>
      </c>
      <c r="F63" s="5">
        <f t="shared" si="8"/>
        <v>474.9070165512</v>
      </c>
      <c r="G63" s="13">
        <f t="shared" si="103"/>
        <v>381.99042635639995</v>
      </c>
      <c r="H63">
        <v>664</v>
      </c>
      <c r="I63" s="13">
        <f t="shared" si="104"/>
        <v>61.944393463199994</v>
      </c>
      <c r="J63">
        <v>88200</v>
      </c>
      <c r="K63" s="13">
        <v>0.46</v>
      </c>
      <c r="L63" s="14">
        <f t="shared" si="10"/>
        <v>-2396.532775762651</v>
      </c>
      <c r="N63" s="7">
        <f t="shared" si="11"/>
        <v>725.41804972179227</v>
      </c>
      <c r="O63" s="5">
        <f t="shared" si="12"/>
        <v>650.41613136360002</v>
      </c>
      <c r="P63">
        <v>88200</v>
      </c>
      <c r="Q63" s="5">
        <v>0.46400000000000002</v>
      </c>
      <c r="R63" s="5">
        <f t="shared" si="13"/>
        <v>29687.588601254403</v>
      </c>
      <c r="S63" s="5">
        <f t="shared" si="14"/>
        <v>336.59397507091165</v>
      </c>
      <c r="T63" s="5">
        <f t="shared" si="15"/>
        <v>301.79308495271044</v>
      </c>
      <c r="U63" s="6">
        <f t="shared" si="16"/>
        <v>27951.563597078315</v>
      </c>
      <c r="W63" s="9">
        <f t="shared" si="17"/>
        <v>27951.563597078315</v>
      </c>
      <c r="AA63" s="19">
        <v>0.12</v>
      </c>
      <c r="AB63">
        <v>0.36</v>
      </c>
      <c r="AC63" s="6">
        <f t="shared" si="39"/>
        <v>1194.8843664091451</v>
      </c>
      <c r="AD63" s="5"/>
      <c r="AE63" s="5"/>
      <c r="AF63" s="5"/>
      <c r="AG63" s="5"/>
      <c r="AH63" s="13">
        <v>0.02</v>
      </c>
      <c r="AJ63" s="3">
        <v>1.7999999999999999E-2</v>
      </c>
      <c r="AK63">
        <f t="shared" si="18"/>
        <v>5.4322755291487876</v>
      </c>
      <c r="AL63" s="6">
        <f t="shared" si="19"/>
        <v>534.37659482257925</v>
      </c>
      <c r="AO63" s="5">
        <f t="shared" si="93"/>
        <v>16.878861506828457</v>
      </c>
      <c r="AP63" s="5">
        <f t="shared" si="20"/>
        <v>5785.7542656019332</v>
      </c>
      <c r="AQ63" s="5">
        <f t="shared" si="94"/>
        <v>249.63737089929799</v>
      </c>
      <c r="AR63" s="6">
        <f t="shared" si="95"/>
        <v>349028.37961898174</v>
      </c>
      <c r="AS63" s="5"/>
      <c r="AT63" s="5"/>
      <c r="AV63" s="3">
        <f t="shared" si="96"/>
        <v>27691.789584705683</v>
      </c>
      <c r="AW63" s="5">
        <f t="shared" si="97"/>
        <v>479.03664278207998</v>
      </c>
      <c r="AX63" s="5">
        <v>458.02815504437154</v>
      </c>
      <c r="AZ63">
        <f t="shared" si="24"/>
        <v>0</v>
      </c>
      <c r="BA63" s="5">
        <f t="shared" si="25"/>
        <v>10.136641473334587</v>
      </c>
      <c r="BB63" s="5">
        <f t="shared" si="26"/>
        <v>10.136641473334587</v>
      </c>
      <c r="DF63">
        <f t="shared" ref="DF63:DW63" si="122">IF((DF$8-$B63)&gt;0,_xlfn.LOGNORM.DIST((DF$8-$B63+1),$BD$2,$BD$3,TRUE)-_xlfn.LOGNORM.DIST((DF$8-$B63),$BD$2,$BD$3,TRUE),_xlfn.LOGNORM.DIST((DF$8-$B63+1),$BD$2,$BD$3,TRUE))*$AW63</f>
        <v>5.8264150598092508</v>
      </c>
      <c r="DG63">
        <f t="shared" si="122"/>
        <v>24.563288802890352</v>
      </c>
      <c r="DH63">
        <f t="shared" si="122"/>
        <v>34.371610635477289</v>
      </c>
      <c r="DI63">
        <f t="shared" si="122"/>
        <v>36.57149519751804</v>
      </c>
      <c r="DJ63">
        <f t="shared" si="122"/>
        <v>35.270158448057757</v>
      </c>
      <c r="DK63">
        <f t="shared" si="122"/>
        <v>32.580479546455393</v>
      </c>
      <c r="DL63">
        <f t="shared" si="122"/>
        <v>29.47951620066921</v>
      </c>
      <c r="DM63">
        <f t="shared" si="122"/>
        <v>26.404593716877038</v>
      </c>
      <c r="DN63">
        <f t="shared" si="122"/>
        <v>23.54007944325955</v>
      </c>
      <c r="DO63">
        <f t="shared" si="122"/>
        <v>20.951363200875488</v>
      </c>
      <c r="DP63">
        <f t="shared" si="122"/>
        <v>18.64836008761262</v>
      </c>
      <c r="DQ63">
        <f t="shared" si="122"/>
        <v>16.616144631041838</v>
      </c>
      <c r="DR63">
        <f t="shared" si="122"/>
        <v>14.829871532389785</v>
      </c>
      <c r="DS63">
        <f t="shared" si="122"/>
        <v>13.262005149550472</v>
      </c>
      <c r="DT63">
        <f t="shared" si="122"/>
        <v>11.885718120043384</v>
      </c>
      <c r="DU63">
        <f t="shared" si="122"/>
        <v>10.676365734120379</v>
      </c>
      <c r="DV63">
        <f t="shared" si="122"/>
        <v>9.6119976685937196</v>
      </c>
      <c r="DW63" s="4">
        <f t="shared" si="122"/>
        <v>8.6733992331350862</v>
      </c>
      <c r="DZ63" s="8">
        <f t="shared" si="30"/>
        <v>553.83579169411371</v>
      </c>
      <c r="EB63" s="3">
        <f t="shared" si="31"/>
        <v>4453.1382901881607</v>
      </c>
      <c r="EF63" s="3">
        <f t="shared" si="32"/>
        <v>28226.166179528263</v>
      </c>
      <c r="EG63">
        <f t="shared" si="33"/>
        <v>0.86</v>
      </c>
      <c r="EH63">
        <f t="shared" si="34"/>
        <v>24274.502914394307</v>
      </c>
      <c r="EI63" s="4">
        <f>SUM($EH$10:EH63)</f>
        <v>1617446.2995703057</v>
      </c>
      <c r="EJ63" s="4">
        <f t="shared" si="42"/>
        <v>1617.4462995703057</v>
      </c>
      <c r="EN63" s="3">
        <f t="shared" si="35"/>
        <v>393.90421333815954</v>
      </c>
      <c r="EO63">
        <v>6.9606701642505566</v>
      </c>
      <c r="EP63">
        <f t="shared" si="36"/>
        <v>400.86488350241007</v>
      </c>
      <c r="EQ63">
        <f>SUM($EP$10:EP63)</f>
        <v>23325.689077825158</v>
      </c>
      <c r="ER63">
        <f t="shared" si="37"/>
        <v>557483968.96002126</v>
      </c>
      <c r="ES63" s="4">
        <f t="shared" si="38"/>
        <v>331.67508733276469</v>
      </c>
    </row>
    <row r="64" spans="1:149" x14ac:dyDescent="0.25">
      <c r="A64" s="41"/>
      <c r="B64" s="39">
        <v>2044</v>
      </c>
      <c r="C64">
        <v>375507575</v>
      </c>
      <c r="D64" s="40">
        <f t="shared" si="6"/>
        <v>375.50757499999997</v>
      </c>
      <c r="E64" s="12">
        <f t="shared" si="102"/>
        <v>1036.400907</v>
      </c>
      <c r="F64" s="5">
        <f t="shared" si="8"/>
        <v>476.74441722</v>
      </c>
      <c r="G64" s="13">
        <f t="shared" si="103"/>
        <v>383.46833558999998</v>
      </c>
      <c r="H64">
        <v>664</v>
      </c>
      <c r="I64" s="13">
        <f t="shared" si="104"/>
        <v>62.184054419999995</v>
      </c>
      <c r="J64">
        <v>88200</v>
      </c>
      <c r="K64" s="13">
        <v>0.46</v>
      </c>
      <c r="L64" s="14">
        <f t="shared" si="10"/>
        <v>-2405.8048875056306</v>
      </c>
      <c r="N64" s="7">
        <f t="shared" si="11"/>
        <v>728.22466988798374</v>
      </c>
      <c r="O64" s="5">
        <f t="shared" si="12"/>
        <v>652.93257141000004</v>
      </c>
      <c r="P64">
        <v>88200</v>
      </c>
      <c r="Q64" s="5">
        <v>0.46400000000000002</v>
      </c>
      <c r="R64" s="5">
        <f t="shared" si="13"/>
        <v>29802.448970231759</v>
      </c>
      <c r="S64" s="5">
        <f t="shared" si="14"/>
        <v>337.89624682802446</v>
      </c>
      <c r="T64" s="5">
        <f t="shared" si="15"/>
        <v>302.96071313424005</v>
      </c>
      <c r="U64" s="6">
        <f t="shared" si="16"/>
        <v>28056.485311321241</v>
      </c>
      <c r="W64" s="9">
        <f t="shared" si="17"/>
        <v>28056.485311321241</v>
      </c>
      <c r="AA64" s="19">
        <v>0.12</v>
      </c>
      <c r="AB64">
        <v>0.36</v>
      </c>
      <c r="AC64" s="6">
        <f t="shared" si="39"/>
        <v>1196.2853100592854</v>
      </c>
      <c r="AD64" s="5"/>
      <c r="AE64" s="5"/>
      <c r="AF64" s="5"/>
      <c r="AG64" s="5"/>
      <c r="AH64" s="13">
        <v>0.02</v>
      </c>
      <c r="AJ64" s="3">
        <v>1.7999999999999999E-2</v>
      </c>
      <c r="AK64">
        <f t="shared" si="18"/>
        <v>5.4532928364163205</v>
      </c>
      <c r="AL64" s="6">
        <f t="shared" si="19"/>
        <v>536.44408146417163</v>
      </c>
      <c r="AO64" s="5">
        <f t="shared" si="93"/>
        <v>17.073344242605856</v>
      </c>
      <c r="AP64" s="5">
        <f t="shared" si="20"/>
        <v>5802.8276098445394</v>
      </c>
      <c r="AQ64" s="5">
        <f t="shared" si="94"/>
        <v>316.44251409512941</v>
      </c>
      <c r="AR64" s="6">
        <f t="shared" si="95"/>
        <v>349344.82213307684</v>
      </c>
      <c r="AS64" s="5"/>
      <c r="AT64" s="5"/>
      <c r="AV64" s="3">
        <f>AX64/AP63*AR63</f>
        <v>27729.876243253664</v>
      </c>
      <c r="AW64" s="5">
        <f t="shared" si="97"/>
        <v>480.89002084800001</v>
      </c>
      <c r="AX64" s="5">
        <v>459.67107297739415</v>
      </c>
      <c r="AZ64">
        <f t="shared" si="24"/>
        <v>0</v>
      </c>
      <c r="BA64" s="5">
        <f t="shared" si="25"/>
        <v>10.166553972447632</v>
      </c>
      <c r="BB64" s="5">
        <f t="shared" si="26"/>
        <v>10.166553972447632</v>
      </c>
      <c r="DG64">
        <f t="shared" ref="DG64:DW64" si="123">IF((DG$8-$B64)&gt;0,_xlfn.LOGNORM.DIST((DG$8-$B64+1),$BD$2,$BD$3,TRUE)-_xlfn.LOGNORM.DIST((DG$8-$B64),$BD$2,$BD$3,TRUE),_xlfn.LOGNORM.DIST((DG$8-$B64+1),$BD$2,$BD$3,TRUE))*$AW64</f>
        <v>5.8489572808219954</v>
      </c>
      <c r="DH64">
        <f t="shared" si="123"/>
        <v>24.658323413248635</v>
      </c>
      <c r="DI64">
        <f t="shared" si="123"/>
        <v>34.504593341919467</v>
      </c>
      <c r="DJ64">
        <f t="shared" si="123"/>
        <v>36.712989189800822</v>
      </c>
      <c r="DK64">
        <f t="shared" si="123"/>
        <v>35.406617608404062</v>
      </c>
      <c r="DL64">
        <f t="shared" si="123"/>
        <v>32.706532421696565</v>
      </c>
      <c r="DM64">
        <f t="shared" si="123"/>
        <v>29.593571543915903</v>
      </c>
      <c r="DN64">
        <f t="shared" si="123"/>
        <v>26.506752279424941</v>
      </c>
      <c r="DO64">
        <f t="shared" si="123"/>
        <v>23.631155288014916</v>
      </c>
      <c r="DP64">
        <f t="shared" si="123"/>
        <v>21.032423381954978</v>
      </c>
      <c r="DQ64">
        <f t="shared" si="123"/>
        <v>18.72051002034226</v>
      </c>
      <c r="DR64">
        <f t="shared" si="123"/>
        <v>16.680431984552992</v>
      </c>
      <c r="DS64">
        <f t="shared" si="123"/>
        <v>14.887247850115537</v>
      </c>
      <c r="DT64">
        <f t="shared" si="123"/>
        <v>13.313315440369868</v>
      </c>
      <c r="DU64">
        <f t="shared" si="123"/>
        <v>11.931703598593545</v>
      </c>
      <c r="DV64">
        <f t="shared" si="123"/>
        <v>10.717672265412935</v>
      </c>
      <c r="DW64" s="4">
        <f t="shared" si="123"/>
        <v>9.6491861925136941</v>
      </c>
      <c r="DZ64" s="8">
        <f t="shared" si="30"/>
        <v>554.5975248650733</v>
      </c>
      <c r="EB64" s="3">
        <f t="shared" si="31"/>
        <v>4470.3673455347634</v>
      </c>
      <c r="EF64" s="3">
        <f t="shared" si="32"/>
        <v>28266.320324717835</v>
      </c>
      <c r="EG64">
        <f t="shared" si="33"/>
        <v>0.86</v>
      </c>
      <c r="EH64">
        <f t="shared" si="34"/>
        <v>24309.035479257338</v>
      </c>
      <c r="EI64" s="4">
        <f>SUM($EH$10:EH64)</f>
        <v>1641755.3350495631</v>
      </c>
      <c r="EJ64" s="4">
        <f t="shared" si="42"/>
        <v>1641.7553350495632</v>
      </c>
      <c r="EN64" s="3">
        <f t="shared" si="35"/>
        <v>395.31712276055896</v>
      </c>
      <c r="EO64">
        <v>6.9872292134277254</v>
      </c>
      <c r="EP64">
        <f t="shared" si="36"/>
        <v>402.30435197398668</v>
      </c>
      <c r="EQ64">
        <f>SUM($EP$10:EP64)</f>
        <v>23727.993429799146</v>
      </c>
      <c r="ER64">
        <f t="shared" si="37"/>
        <v>567099042.97219956</v>
      </c>
      <c r="ES64" s="4">
        <f t="shared" si="38"/>
        <v>337.39557561631017</v>
      </c>
    </row>
    <row r="65" spans="1:149" x14ac:dyDescent="0.25">
      <c r="A65" s="41"/>
      <c r="B65" s="39">
        <v>2045</v>
      </c>
      <c r="C65">
        <v>376937805</v>
      </c>
      <c r="D65" s="40">
        <f t="shared" si="6"/>
        <v>376.93780500000003</v>
      </c>
      <c r="E65" s="12">
        <f t="shared" si="102"/>
        <v>1040.3483418000001</v>
      </c>
      <c r="F65" s="5">
        <f t="shared" si="8"/>
        <v>478.56023722800006</v>
      </c>
      <c r="G65" s="13">
        <f t="shared" si="103"/>
        <v>384.92888646599999</v>
      </c>
      <c r="H65">
        <v>664</v>
      </c>
      <c r="I65" s="13">
        <f t="shared" si="104"/>
        <v>62.420900508000003</v>
      </c>
      <c r="J65">
        <v>88200</v>
      </c>
      <c r="K65" s="13">
        <v>0.46</v>
      </c>
      <c r="L65" s="14">
        <f t="shared" si="10"/>
        <v>-2414.9680963284009</v>
      </c>
      <c r="N65" s="7">
        <f t="shared" si="11"/>
        <v>730.99832570468448</v>
      </c>
      <c r="O65" s="5">
        <f t="shared" si="12"/>
        <v>655.41945533400008</v>
      </c>
      <c r="P65">
        <v>88200</v>
      </c>
      <c r="Q65" s="5">
        <v>0.46400000000000002</v>
      </c>
      <c r="R65" s="5">
        <f t="shared" si="13"/>
        <v>29915.96027979907</v>
      </c>
      <c r="S65" s="5">
        <f t="shared" si="14"/>
        <v>339.18322312697359</v>
      </c>
      <c r="T65" s="5">
        <f t="shared" si="15"/>
        <v>304.11462727497604</v>
      </c>
      <c r="U65" s="6">
        <f t="shared" si="16"/>
        <v>28160.435552142844</v>
      </c>
      <c r="W65" s="9">
        <f t="shared" si="17"/>
        <v>28160.435552142844</v>
      </c>
      <c r="AA65" s="19">
        <v>0.12</v>
      </c>
      <c r="AB65">
        <v>0.36</v>
      </c>
      <c r="AC65" s="6">
        <f t="shared" si="39"/>
        <v>1197.9306537085581</v>
      </c>
      <c r="AD65" s="5"/>
      <c r="AE65" s="5"/>
      <c r="AF65" s="5"/>
      <c r="AG65" s="5"/>
      <c r="AH65" s="13">
        <v>0.02</v>
      </c>
      <c r="AJ65" s="3">
        <v>1.7999999999999999E-2</v>
      </c>
      <c r="AK65">
        <f t="shared" si="18"/>
        <v>5.4740632909495686</v>
      </c>
      <c r="AL65" s="6">
        <f t="shared" si="19"/>
        <v>538.48728503638324</v>
      </c>
      <c r="AO65" s="5">
        <f t="shared" si="93"/>
        <v>17.233108901275671</v>
      </c>
      <c r="AP65" s="5">
        <f t="shared" si="20"/>
        <v>5820.0607187458154</v>
      </c>
      <c r="AQ65" s="5">
        <f t="shared" si="94"/>
        <v>377.18497299942817</v>
      </c>
      <c r="AR65" s="6">
        <f t="shared" si="95"/>
        <v>349722.00710607629</v>
      </c>
      <c r="AS65" s="5"/>
      <c r="AT65" s="5"/>
      <c r="AV65" s="3">
        <f t="shared" si="96"/>
        <v>27773.053832764173</v>
      </c>
      <c r="AW65" s="5">
        <f t="shared" si="97"/>
        <v>482.72163059520005</v>
      </c>
      <c r="AX65" s="5">
        <v>461.32712832672439</v>
      </c>
      <c r="AZ65">
        <f t="shared" si="24"/>
        <v>0</v>
      </c>
      <c r="BA65" s="5">
        <f t="shared" si="25"/>
        <v>10.196746379242668</v>
      </c>
      <c r="BB65" s="5">
        <f t="shared" si="26"/>
        <v>10.196746379242668</v>
      </c>
      <c r="DH65">
        <f t="shared" ref="DH65:DW65" si="124">IF((DH$8-$B65)&gt;0,_xlfn.LOGNORM.DIST((DH$8-$B65+1),$BD$2,$BD$3,TRUE)-_xlfn.LOGNORM.DIST((DH$8-$B65),$BD$2,$BD$3,TRUE),_xlfn.LOGNORM.DIST((DH$8-$B65+1),$BD$2,$BD$3,TRUE))*$AW65</f>
        <v>5.8712347386648904</v>
      </c>
      <c r="DI65">
        <f t="shared" si="124"/>
        <v>24.75224182193941</v>
      </c>
      <c r="DJ65">
        <f t="shared" si="124"/>
        <v>34.636014138252044</v>
      </c>
      <c r="DK65">
        <f t="shared" si="124"/>
        <v>36.852821305115491</v>
      </c>
      <c r="DL65">
        <f t="shared" si="124"/>
        <v>35.54147402695186</v>
      </c>
      <c r="DM65">
        <f t="shared" si="124"/>
        <v>32.831104779166274</v>
      </c>
      <c r="DN65">
        <f t="shared" si="124"/>
        <v>29.706287282950612</v>
      </c>
      <c r="DO65">
        <f t="shared" si="124"/>
        <v>26.607710967974974</v>
      </c>
      <c r="DP65">
        <f t="shared" si="124"/>
        <v>23.721161427644933</v>
      </c>
      <c r="DQ65">
        <f t="shared" si="124"/>
        <v>21.112531494004582</v>
      </c>
      <c r="DR65">
        <f t="shared" si="124"/>
        <v>18.791812536799871</v>
      </c>
      <c r="DS65">
        <f t="shared" si="124"/>
        <v>16.743964269453684</v>
      </c>
      <c r="DT65">
        <f t="shared" si="124"/>
        <v>14.943950270812834</v>
      </c>
      <c r="DU65">
        <f t="shared" si="124"/>
        <v>13.36402308093419</v>
      </c>
      <c r="DV65">
        <f t="shared" si="124"/>
        <v>11.977148967938803</v>
      </c>
      <c r="DW65" s="4">
        <f t="shared" si="124"/>
        <v>10.758493642729125</v>
      </c>
      <c r="DZ65" s="8">
        <f t="shared" si="30"/>
        <v>555.46107665528348</v>
      </c>
      <c r="EB65" s="3">
        <f t="shared" si="31"/>
        <v>4487.3940419698602</v>
      </c>
      <c r="EF65" s="3">
        <f t="shared" si="32"/>
        <v>28311.541117800556</v>
      </c>
      <c r="EG65">
        <f t="shared" si="33"/>
        <v>0.86</v>
      </c>
      <c r="EH65">
        <f t="shared" si="34"/>
        <v>24347.925361308477</v>
      </c>
      <c r="EI65" s="4">
        <f>SUM($EH$10:EH65)</f>
        <v>1666103.2604108716</v>
      </c>
      <c r="EJ65" s="4">
        <f t="shared" si="42"/>
        <v>1666.1032604108716</v>
      </c>
      <c r="EN65" s="3">
        <f t="shared" si="35"/>
        <v>396.74133036098294</v>
      </c>
      <c r="EO65">
        <v>7.0140713592619743</v>
      </c>
      <c r="EP65">
        <f t="shared" si="36"/>
        <v>403.75540172024489</v>
      </c>
      <c r="EQ65">
        <f>SUM($EP$10:EP65)</f>
        <v>24131.748831519391</v>
      </c>
      <c r="ER65">
        <f t="shared" si="37"/>
        <v>576748797.07331336</v>
      </c>
      <c r="ES65" s="4">
        <f t="shared" si="38"/>
        <v>343.1366968187678</v>
      </c>
    </row>
    <row r="66" spans="1:149" x14ac:dyDescent="0.25">
      <c r="A66" s="41"/>
      <c r="B66" s="39">
        <v>2046</v>
      </c>
      <c r="C66">
        <v>378355202</v>
      </c>
      <c r="D66" s="40">
        <f t="shared" si="6"/>
        <v>378.35520200000002</v>
      </c>
      <c r="E66" s="12">
        <f t="shared" si="102"/>
        <v>1044.2603575200001</v>
      </c>
      <c r="F66" s="5">
        <f t="shared" si="8"/>
        <v>480.35976445920005</v>
      </c>
      <c r="G66" s="13">
        <f t="shared" si="103"/>
        <v>386.37633228240003</v>
      </c>
      <c r="H66">
        <v>664</v>
      </c>
      <c r="I66" s="13">
        <f t="shared" si="104"/>
        <v>62.655621451200005</v>
      </c>
      <c r="J66">
        <v>88200</v>
      </c>
      <c r="K66" s="13">
        <v>0.46</v>
      </c>
      <c r="L66" s="14">
        <f t="shared" si="10"/>
        <v>-2424.049086585751</v>
      </c>
      <c r="N66" s="7">
        <f t="shared" si="11"/>
        <v>733.74709438778018</v>
      </c>
      <c r="O66" s="5">
        <f t="shared" si="12"/>
        <v>657.8840252376001</v>
      </c>
      <c r="P66">
        <v>88200</v>
      </c>
      <c r="Q66" s="5">
        <v>0.46400000000000002</v>
      </c>
      <c r="R66" s="5">
        <f t="shared" si="13"/>
        <v>30028.453088401031</v>
      </c>
      <c r="S66" s="5">
        <f t="shared" si="14"/>
        <v>340.45865179593</v>
      </c>
      <c r="T66" s="5">
        <f t="shared" si="15"/>
        <v>305.25818771024649</v>
      </c>
      <c r="U66" s="6">
        <f t="shared" si="16"/>
        <v>28263.687771799472</v>
      </c>
      <c r="W66" s="9">
        <f t="shared" si="17"/>
        <v>28263.687771799472</v>
      </c>
      <c r="AA66" s="19">
        <v>0.12</v>
      </c>
      <c r="AB66">
        <v>0.36</v>
      </c>
      <c r="AC66" s="6">
        <f t="shared" si="39"/>
        <v>1199.7959255754122</v>
      </c>
      <c r="AD66" s="5"/>
      <c r="AE66" s="5"/>
      <c r="AF66" s="5"/>
      <c r="AG66" s="5"/>
      <c r="AH66" s="13">
        <v>0.02</v>
      </c>
      <c r="AJ66" s="3">
        <v>1.7999999999999999E-2</v>
      </c>
      <c r="AK66">
        <f t="shared" si="18"/>
        <v>5.4946473787844363</v>
      </c>
      <c r="AL66" s="6">
        <f t="shared" si="19"/>
        <v>540.51215559121852</v>
      </c>
      <c r="AO66" s="5">
        <f t="shared" si="93"/>
        <v>17.366507881788948</v>
      </c>
      <c r="AP66" s="5">
        <f t="shared" si="20"/>
        <v>5837.4272266276039</v>
      </c>
      <c r="AQ66" s="5">
        <f t="shared" si="94"/>
        <v>432.62868850639177</v>
      </c>
      <c r="AR66" s="6">
        <f t="shared" si="95"/>
        <v>350154.63579458266</v>
      </c>
      <c r="AS66" s="5"/>
      <c r="AT66" s="5"/>
      <c r="AV66" s="3">
        <f t="shared" si="96"/>
        <v>27820.831910792029</v>
      </c>
      <c r="AW66" s="5">
        <f t="shared" si="97"/>
        <v>484.53680588928006</v>
      </c>
      <c r="AX66" s="5">
        <v>462.9932565774111</v>
      </c>
      <c r="AZ66">
        <f t="shared" si="24"/>
        <v>0</v>
      </c>
      <c r="BA66" s="5">
        <f t="shared" si="25"/>
        <v>10.227172501051562</v>
      </c>
      <c r="BB66" s="5">
        <f t="shared" si="26"/>
        <v>10.227172501051562</v>
      </c>
      <c r="DI66">
        <f t="shared" ref="DI66:DW66" si="125">IF((DI$8-$B66)&gt;0,_xlfn.LOGNORM.DIST((DI$8-$B66+1),$BD$2,$BD$3,TRUE)-_xlfn.LOGNORM.DIST((DI$8-$B66),$BD$2,$BD$3,TRUE),_xlfn.LOGNORM.DIST((DI$8-$B66+1),$BD$2,$BD$3,TRUE))*$AW66</f>
        <v>5.8933123079468555</v>
      </c>
      <c r="DJ66">
        <f t="shared" si="125"/>
        <v>24.845317530547867</v>
      </c>
      <c r="DK66">
        <f t="shared" si="125"/>
        <v>34.766255737476925</v>
      </c>
      <c r="DL66">
        <f t="shared" si="125"/>
        <v>36.991398751226015</v>
      </c>
      <c r="DM66">
        <f t="shared" si="125"/>
        <v>35.675120421643896</v>
      </c>
      <c r="DN66">
        <f t="shared" si="125"/>
        <v>32.9545593883973</v>
      </c>
      <c r="DO66">
        <f t="shared" si="125"/>
        <v>29.817991659421931</v>
      </c>
      <c r="DP66">
        <f t="shared" si="125"/>
        <v>26.707763786245284</v>
      </c>
      <c r="DQ66">
        <f t="shared" si="125"/>
        <v>23.810359970741612</v>
      </c>
      <c r="DR66">
        <f t="shared" si="125"/>
        <v>21.191920821381832</v>
      </c>
      <c r="DS66">
        <f t="shared" si="125"/>
        <v>18.862475278400499</v>
      </c>
      <c r="DT66">
        <f t="shared" si="125"/>
        <v>16.806926499319779</v>
      </c>
      <c r="DU66">
        <f t="shared" si="125"/>
        <v>15.000143918680019</v>
      </c>
      <c r="DV66">
        <f t="shared" si="125"/>
        <v>13.414275737928484</v>
      </c>
      <c r="DW66" s="4">
        <f t="shared" si="125"/>
        <v>12.02218657040404</v>
      </c>
      <c r="DZ66" s="8">
        <f t="shared" si="30"/>
        <v>556.41663821584063</v>
      </c>
      <c r="EB66" s="3">
        <f t="shared" si="31"/>
        <v>4504.2679632601548</v>
      </c>
      <c r="EF66" s="3">
        <f t="shared" si="32"/>
        <v>28361.344066383248</v>
      </c>
      <c r="EG66">
        <f t="shared" si="33"/>
        <v>0.86</v>
      </c>
      <c r="EH66">
        <f t="shared" si="34"/>
        <v>24390.755897089592</v>
      </c>
      <c r="EI66" s="4">
        <f>SUM($EH$10:EH66)</f>
        <v>1690494.0163079612</v>
      </c>
      <c r="EJ66" s="4">
        <f t="shared" si="42"/>
        <v>1690.4940163079611</v>
      </c>
      <c r="EN66" s="3">
        <f t="shared" si="35"/>
        <v>398.17420065657353</v>
      </c>
      <c r="EO66">
        <v>7.0398704896921434</v>
      </c>
      <c r="EP66">
        <f t="shared" si="36"/>
        <v>405.21407114626567</v>
      </c>
      <c r="EQ66">
        <f>SUM($EP$10:EP66)</f>
        <v>24536.962902665658</v>
      </c>
      <c r="ER66">
        <f t="shared" si="37"/>
        <v>586433413.3737092</v>
      </c>
      <c r="ES66" s="4">
        <f t="shared" si="38"/>
        <v>348.89855928668828</v>
      </c>
    </row>
    <row r="67" spans="1:149" x14ac:dyDescent="0.25">
      <c r="A67" s="41"/>
      <c r="B67" s="39">
        <v>2047</v>
      </c>
      <c r="C67">
        <v>379763827</v>
      </c>
      <c r="D67" s="40">
        <f t="shared" si="6"/>
        <v>379.76382699999999</v>
      </c>
      <c r="E67" s="12">
        <f t="shared" si="102"/>
        <v>1048.1481625199999</v>
      </c>
      <c r="F67" s="5">
        <f t="shared" si="8"/>
        <v>482.1481547592</v>
      </c>
      <c r="G67" s="13">
        <f t="shared" si="103"/>
        <v>387.81482013239997</v>
      </c>
      <c r="H67">
        <v>664</v>
      </c>
      <c r="I67" s="13">
        <f t="shared" si="104"/>
        <v>62.88888975119999</v>
      </c>
      <c r="J67">
        <v>88200</v>
      </c>
      <c r="K67" s="13">
        <v>0.46</v>
      </c>
      <c r="L67" s="14">
        <f t="shared" si="10"/>
        <v>-2433.0738763244453</v>
      </c>
      <c r="N67" s="7">
        <f t="shared" si="11"/>
        <v>736.47885146517297</v>
      </c>
      <c r="O67" s="5">
        <f t="shared" si="12"/>
        <v>660.33334238759994</v>
      </c>
      <c r="P67">
        <v>88200</v>
      </c>
      <c r="Q67" s="5">
        <v>0.46400000000000002</v>
      </c>
      <c r="R67" s="5">
        <f t="shared" si="13"/>
        <v>30140.249700441913</v>
      </c>
      <c r="S67" s="5">
        <f t="shared" si="14"/>
        <v>341.72618707984026</v>
      </c>
      <c r="T67" s="5">
        <f t="shared" si="15"/>
        <v>306.3946708678464</v>
      </c>
      <c r="U67" s="6">
        <f t="shared" si="16"/>
        <v>28366.511268055729</v>
      </c>
      <c r="W67" s="9">
        <f t="shared" si="17"/>
        <v>28366.511268055729</v>
      </c>
      <c r="AA67" s="19">
        <v>0.12</v>
      </c>
      <c r="AB67">
        <v>0.36</v>
      </c>
      <c r="AC67" s="6">
        <f t="shared" si="39"/>
        <v>1201.8599385462155</v>
      </c>
      <c r="AD67" s="5"/>
      <c r="AE67" s="5"/>
      <c r="AF67" s="5"/>
      <c r="AG67" s="5"/>
      <c r="AH67" s="13">
        <v>0.02</v>
      </c>
      <c r="AJ67" s="3">
        <v>1.7999999999999999E-2</v>
      </c>
      <c r="AK67">
        <f t="shared" si="18"/>
        <v>5.5151040756212346</v>
      </c>
      <c r="AL67" s="6">
        <f t="shared" si="19"/>
        <v>542.52449460795435</v>
      </c>
      <c r="AO67" s="5">
        <f t="shared" si="93"/>
        <v>17.480950907561748</v>
      </c>
      <c r="AP67" s="5">
        <f t="shared" si="20"/>
        <v>5854.908177535166</v>
      </c>
      <c r="AQ67" s="5">
        <f t="shared" si="94"/>
        <v>483.46478761169715</v>
      </c>
      <c r="AR67" s="6">
        <f t="shared" si="95"/>
        <v>350638.10058219434</v>
      </c>
      <c r="AS67" s="5"/>
      <c r="AT67" s="5"/>
      <c r="AV67" s="3">
        <f t="shared" si="96"/>
        <v>27872.78868131699</v>
      </c>
      <c r="AW67" s="5">
        <f t="shared" si="97"/>
        <v>486.34074740927997</v>
      </c>
      <c r="AX67" s="5">
        <v>464.66720385163825</v>
      </c>
      <c r="AZ67">
        <f t="shared" si="24"/>
        <v>0</v>
      </c>
      <c r="BA67" s="5">
        <f t="shared" si="25"/>
        <v>10.257799127041611</v>
      </c>
      <c r="BB67" s="5">
        <f t="shared" si="26"/>
        <v>10.257799127041611</v>
      </c>
      <c r="DJ67">
        <f t="shared" ref="DJ67:DW67" si="126">IF((DJ$8-$B67)&gt;0,_xlfn.LOGNORM.DIST((DJ$8-$B67+1),$BD$2,$BD$3,TRUE)-_xlfn.LOGNORM.DIST((DJ$8-$B67),$BD$2,$BD$3,TRUE),_xlfn.LOGNORM.DIST((DJ$8-$B67+1),$BD$2,$BD$3,TRUE))*$AW67</f>
        <v>5.9152532433586043</v>
      </c>
      <c r="DK67">
        <f t="shared" si="126"/>
        <v>24.937817211327904</v>
      </c>
      <c r="DL67">
        <f t="shared" si="126"/>
        <v>34.895691296256956</v>
      </c>
      <c r="DM67">
        <f t="shared" si="126"/>
        <v>37.129118567923399</v>
      </c>
      <c r="DN67">
        <f t="shared" si="126"/>
        <v>35.80793970426059</v>
      </c>
      <c r="DO67">
        <f t="shared" si="126"/>
        <v>33.077249960571535</v>
      </c>
      <c r="DP67">
        <f t="shared" si="126"/>
        <v>29.929004718788434</v>
      </c>
      <c r="DQ67">
        <f t="shared" si="126"/>
        <v>26.807197396684707</v>
      </c>
      <c r="DR67">
        <f t="shared" si="126"/>
        <v>23.89900648104857</v>
      </c>
      <c r="DS67">
        <f t="shared" si="126"/>
        <v>21.270818823336665</v>
      </c>
      <c r="DT67">
        <f t="shared" si="126"/>
        <v>18.93270070175555</v>
      </c>
      <c r="DU67">
        <f t="shared" si="126"/>
        <v>16.869499067940371</v>
      </c>
      <c r="DV67">
        <f t="shared" si="126"/>
        <v>15.055989794766187</v>
      </c>
      <c r="DW67" s="4">
        <f t="shared" si="126"/>
        <v>13.464217390802437</v>
      </c>
      <c r="DZ67" s="8">
        <f t="shared" si="30"/>
        <v>557.45577362633981</v>
      </c>
      <c r="EB67" s="3">
        <f t="shared" si="31"/>
        <v>4521.0374550662864</v>
      </c>
      <c r="EF67" s="3">
        <f t="shared" si="32"/>
        <v>28415.313175924945</v>
      </c>
      <c r="EG67">
        <f t="shared" si="33"/>
        <v>0.86</v>
      </c>
      <c r="EH67">
        <f t="shared" si="34"/>
        <v>24437.169331295452</v>
      </c>
      <c r="EI67" s="4">
        <f>SUM($EH$10:EH67)</f>
        <v>1714931.1856392566</v>
      </c>
      <c r="EJ67" s="4">
        <f t="shared" si="42"/>
        <v>1714.9311856392567</v>
      </c>
      <c r="EN67" s="3">
        <f t="shared" si="35"/>
        <v>399.61379531240891</v>
      </c>
      <c r="EO67">
        <v>7.0660093878846029</v>
      </c>
      <c r="EP67">
        <f t="shared" si="36"/>
        <v>406.67980470029352</v>
      </c>
      <c r="EQ67">
        <f>SUM($EP$10:EP67)</f>
        <v>24943.642707365951</v>
      </c>
      <c r="ER67">
        <f t="shared" si="37"/>
        <v>596153060.70604622</v>
      </c>
      <c r="ES67" s="4">
        <f t="shared" si="38"/>
        <v>354.68126346706219</v>
      </c>
    </row>
    <row r="68" spans="1:149" x14ac:dyDescent="0.25">
      <c r="A68" s="41"/>
      <c r="B68" s="39">
        <v>2048</v>
      </c>
      <c r="C68">
        <v>381167755</v>
      </c>
      <c r="D68" s="40">
        <f t="shared" si="6"/>
        <v>381.167755</v>
      </c>
      <c r="E68" s="12">
        <f t="shared" si="102"/>
        <v>1052.0230038</v>
      </c>
      <c r="F68" s="5">
        <f t="shared" si="8"/>
        <v>483.93058174800001</v>
      </c>
      <c r="G68" s="13">
        <f t="shared" si="103"/>
        <v>389.24851140599998</v>
      </c>
      <c r="H68">
        <v>664</v>
      </c>
      <c r="I68" s="13">
        <f t="shared" si="104"/>
        <v>63.121380227999992</v>
      </c>
      <c r="J68">
        <v>88200</v>
      </c>
      <c r="K68" s="13">
        <v>0.46</v>
      </c>
      <c r="L68" s="14">
        <f t="shared" si="10"/>
        <v>-2442.0685732865672</v>
      </c>
      <c r="N68" s="7">
        <f t="shared" si="11"/>
        <v>739.20149961507127</v>
      </c>
      <c r="O68" s="5">
        <f t="shared" si="12"/>
        <v>662.77449239399994</v>
      </c>
      <c r="P68">
        <v>88200</v>
      </c>
      <c r="Q68" s="5">
        <v>0.46400000000000002</v>
      </c>
      <c r="R68" s="5">
        <f t="shared" si="13"/>
        <v>30251.673531446871</v>
      </c>
      <c r="S68" s="5">
        <f t="shared" si="14"/>
        <v>342.98949582139306</v>
      </c>
      <c r="T68" s="5">
        <f t="shared" si="15"/>
        <v>307.527364470816</v>
      </c>
      <c r="U68" s="6">
        <f t="shared" si="16"/>
        <v>28469.179305627153</v>
      </c>
      <c r="W68" s="9">
        <f t="shared" si="17"/>
        <v>28469.179305627153</v>
      </c>
      <c r="AA68" s="19">
        <v>0.12</v>
      </c>
      <c r="AB68">
        <v>0.36</v>
      </c>
      <c r="AC68" s="6">
        <f t="shared" si="39"/>
        <v>1204.104471032894</v>
      </c>
      <c r="AD68" s="5"/>
      <c r="AE68" s="5"/>
      <c r="AF68" s="5"/>
      <c r="AG68" s="5"/>
      <c r="AH68" s="13">
        <v>0.02</v>
      </c>
      <c r="AJ68" s="3">
        <v>1.7999999999999999E-2</v>
      </c>
      <c r="AK68">
        <f t="shared" si="18"/>
        <v>5.5354925604746876</v>
      </c>
      <c r="AL68" s="6">
        <f t="shared" si="19"/>
        <v>544.5301235660437</v>
      </c>
      <c r="AO68" s="5">
        <f t="shared" si="93"/>
        <v>17.583148222087459</v>
      </c>
      <c r="AP68" s="5">
        <f t="shared" si="20"/>
        <v>5872.4913257572534</v>
      </c>
      <c r="AQ68" s="5">
        <f t="shared" si="94"/>
        <v>530.32660646037584</v>
      </c>
      <c r="AR68" s="6">
        <f t="shared" si="95"/>
        <v>351168.42718865472</v>
      </c>
      <c r="AS68" s="5"/>
      <c r="AT68" s="5"/>
      <c r="AV68" s="3">
        <f t="shared" si="96"/>
        <v>27928.56409436405</v>
      </c>
      <c r="AW68" s="5">
        <f t="shared" si="97"/>
        <v>488.13867376320002</v>
      </c>
      <c r="AX68" s="5">
        <v>466.34743352591255</v>
      </c>
      <c r="AZ68">
        <f t="shared" si="24"/>
        <v>0</v>
      </c>
      <c r="BA68" s="5">
        <f t="shared" si="25"/>
        <v>10.288604802726708</v>
      </c>
      <c r="BB68" s="5">
        <f t="shared" si="26"/>
        <v>10.288604802726708</v>
      </c>
      <c r="DK68">
        <f t="shared" ref="DK68:DW68" si="127">IF((DK$8-$B68)&gt;0,_xlfn.LOGNORM.DIST((DK$8-$B68+1),$BD$2,$BD$3,TRUE)-_xlfn.LOGNORM.DIST((DK$8-$B68),$BD$2,$BD$3,TRUE),_xlfn.LOGNORM.DIST((DK$8-$B68+1),$BD$2,$BD$3,TRUE))*$AW68</f>
        <v>5.9371210176567661</v>
      </c>
      <c r="DL68">
        <f t="shared" si="127"/>
        <v>25.03000845586649</v>
      </c>
      <c r="DM68">
        <f t="shared" si="127"/>
        <v>35.024695257685259</v>
      </c>
      <c r="DN68">
        <f t="shared" si="127"/>
        <v>37.26637916376427</v>
      </c>
      <c r="DO68">
        <f t="shared" si="127"/>
        <v>35.940316106642712</v>
      </c>
      <c r="DP68">
        <f t="shared" si="127"/>
        <v>33.199531426264279</v>
      </c>
      <c r="DQ68">
        <f t="shared" si="127"/>
        <v>30.039647609841982</v>
      </c>
      <c r="DR68">
        <f t="shared" si="127"/>
        <v>26.906299449989891</v>
      </c>
      <c r="DS68">
        <f t="shared" si="127"/>
        <v>23.987357403346721</v>
      </c>
      <c r="DT68">
        <f t="shared" si="127"/>
        <v>21.349453743268128</v>
      </c>
      <c r="DU68">
        <f t="shared" si="127"/>
        <v>19.002691961430777</v>
      </c>
      <c r="DV68">
        <f t="shared" si="127"/>
        <v>16.93186299099894</v>
      </c>
      <c r="DW68" s="4">
        <f t="shared" si="127"/>
        <v>15.111649455159769</v>
      </c>
      <c r="DZ68" s="8">
        <f t="shared" si="30"/>
        <v>558.57128188728097</v>
      </c>
      <c r="EB68" s="3">
        <f t="shared" si="31"/>
        <v>4537.7510297170302</v>
      </c>
      <c r="EF68" s="3">
        <f t="shared" si="32"/>
        <v>28473.094217930095</v>
      </c>
      <c r="EG68">
        <f t="shared" si="33"/>
        <v>0.86</v>
      </c>
      <c r="EH68">
        <f t="shared" si="34"/>
        <v>24486.86102741988</v>
      </c>
      <c r="EI68" s="4">
        <f>SUM($EH$10:EH68)</f>
        <v>1739418.0466666764</v>
      </c>
      <c r="EJ68" s="4">
        <f t="shared" si="42"/>
        <v>1739.4180466666764</v>
      </c>
      <c r="EN68" s="3">
        <f t="shared" si="35"/>
        <v>401.05879283228478</v>
      </c>
      <c r="EO68">
        <v>7.0925245831590011</v>
      </c>
      <c r="EP68">
        <f t="shared" si="36"/>
        <v>408.15131741544377</v>
      </c>
      <c r="EQ68">
        <f>SUM($EP$10:EP68)</f>
        <v>25351.794024781393</v>
      </c>
      <c r="ER68">
        <f t="shared" si="37"/>
        <v>605907877.19227529</v>
      </c>
      <c r="ES68" s="4">
        <f t="shared" si="38"/>
        <v>360.48489153554414</v>
      </c>
    </row>
    <row r="69" spans="1:149" x14ac:dyDescent="0.25">
      <c r="A69" s="41"/>
      <c r="B69" s="39">
        <v>2049</v>
      </c>
      <c r="C69">
        <v>382571083</v>
      </c>
      <c r="D69" s="40">
        <f t="shared" si="6"/>
        <v>382.57108299999999</v>
      </c>
      <c r="E69" s="12">
        <f t="shared" si="102"/>
        <v>1055.8961890799999</v>
      </c>
      <c r="F69" s="5">
        <f t="shared" si="8"/>
        <v>485.71224697679997</v>
      </c>
      <c r="G69" s="13">
        <f t="shared" si="103"/>
        <v>390.68158995959993</v>
      </c>
      <c r="H69">
        <v>664</v>
      </c>
      <c r="I69" s="13">
        <f t="shared" si="104"/>
        <v>63.353771344799988</v>
      </c>
      <c r="J69">
        <v>88200</v>
      </c>
      <c r="K69" s="13">
        <v>0.46</v>
      </c>
      <c r="L69" s="14">
        <f t="shared" si="10"/>
        <v>-2451.0594261639644</v>
      </c>
      <c r="N69" s="7">
        <f t="shared" si="11"/>
        <v>741.922984180448</v>
      </c>
      <c r="O69" s="5">
        <f t="shared" si="12"/>
        <v>665.21459912039995</v>
      </c>
      <c r="P69">
        <v>88200</v>
      </c>
      <c r="Q69" s="5">
        <v>0.46400000000000002</v>
      </c>
      <c r="R69" s="5">
        <f t="shared" si="13"/>
        <v>30363.049742987998</v>
      </c>
      <c r="S69" s="5">
        <f t="shared" si="14"/>
        <v>344.25226465972787</v>
      </c>
      <c r="T69" s="5">
        <f t="shared" si="15"/>
        <v>308.65957399186561</v>
      </c>
      <c r="U69" s="6">
        <f t="shared" si="16"/>
        <v>28571.969390326776</v>
      </c>
      <c r="W69" s="9">
        <f t="shared" si="17"/>
        <v>28571.969390326776</v>
      </c>
      <c r="AA69" s="19">
        <v>0.12</v>
      </c>
      <c r="AB69">
        <v>0.36</v>
      </c>
      <c r="AC69" s="6">
        <f t="shared" si="39"/>
        <v>1206.5139688765269</v>
      </c>
      <c r="AD69" s="5"/>
      <c r="AE69" s="5"/>
      <c r="AF69" s="5"/>
      <c r="AG69" s="5"/>
      <c r="AH69" s="13">
        <v>0.02</v>
      </c>
      <c r="AJ69" s="3">
        <v>1.7999999999999999E-2</v>
      </c>
      <c r="AK69">
        <f t="shared" si="18"/>
        <v>5.555872331853581</v>
      </c>
      <c r="AL69" s="6">
        <f t="shared" si="19"/>
        <v>546.53489537378391</v>
      </c>
      <c r="AO69" s="5">
        <f t="shared" si="93"/>
        <v>17.679201180663199</v>
      </c>
      <c r="AP69" s="5">
        <f t="shared" si="20"/>
        <v>5890.1705269379163</v>
      </c>
      <c r="AQ69" s="5">
        <f t="shared" si="94"/>
        <v>573.79602902077443</v>
      </c>
      <c r="AR69" s="6">
        <f t="shared" si="95"/>
        <v>351742.22321767552</v>
      </c>
      <c r="AS69" s="5"/>
      <c r="AT69" s="5"/>
      <c r="AV69" s="3">
        <f t="shared" si="96"/>
        <v>27987.853782542807</v>
      </c>
      <c r="AW69" s="5">
        <f t="shared" si="97"/>
        <v>489.93583173311998</v>
      </c>
      <c r="AX69" s="5">
        <v>468.03304579613678</v>
      </c>
      <c r="AZ69">
        <f t="shared" si="24"/>
        <v>0</v>
      </c>
      <c r="BA69" s="5">
        <f t="shared" si="25"/>
        <v>10.31957876319523</v>
      </c>
      <c r="BB69" s="5">
        <f t="shared" si="26"/>
        <v>10.31957876319523</v>
      </c>
      <c r="DL69">
        <f t="shared" ref="DL69:DW69" si="128">IF((DL$8-$B69)&gt;0,_xlfn.LOGNORM.DIST((DL$8-$B69+1),$BD$2,$BD$3,TRUE)-_xlfn.LOGNORM.DIST((DL$8-$B69),$BD$2,$BD$3,TRUE),_xlfn.LOGNORM.DIST((DL$8-$B69+1),$BD$2,$BD$3,TRUE))*$AW69</f>
        <v>5.9589794462729699</v>
      </c>
      <c r="DM69">
        <f t="shared" si="128"/>
        <v>25.122160300416809</v>
      </c>
      <c r="DN69">
        <f t="shared" si="128"/>
        <v>35.153644086388191</v>
      </c>
      <c r="DO69">
        <f t="shared" si="128"/>
        <v>37.403581098222567</v>
      </c>
      <c r="DP69">
        <f t="shared" si="128"/>
        <v>36.072635935011462</v>
      </c>
      <c r="DQ69">
        <f t="shared" si="128"/>
        <v>33.321760632240419</v>
      </c>
      <c r="DR69">
        <f t="shared" si="128"/>
        <v>30.150243215183846</v>
      </c>
      <c r="DS69">
        <f t="shared" si="128"/>
        <v>27.005359149818261</v>
      </c>
      <c r="DT69">
        <f t="shared" si="128"/>
        <v>24.075670566904126</v>
      </c>
      <c r="DU69">
        <f t="shared" si="128"/>
        <v>21.428055056809541</v>
      </c>
      <c r="DV69">
        <f t="shared" si="128"/>
        <v>19.072653308777301</v>
      </c>
      <c r="DW69" s="4">
        <f t="shared" si="128"/>
        <v>16.994200261441534</v>
      </c>
      <c r="DZ69" s="8">
        <f t="shared" si="30"/>
        <v>559.75707565085611</v>
      </c>
      <c r="EB69" s="3">
        <f t="shared" si="31"/>
        <v>4554.4574614481999</v>
      </c>
      <c r="EF69" s="3">
        <f t="shared" si="32"/>
        <v>28534.388677916591</v>
      </c>
      <c r="EG69">
        <f t="shared" si="33"/>
        <v>0.86</v>
      </c>
      <c r="EH69">
        <f t="shared" si="34"/>
        <v>24539.574263008268</v>
      </c>
      <c r="EI69" s="4">
        <f>SUM($EH$10:EH69)</f>
        <v>1763957.6209296847</v>
      </c>
      <c r="EJ69" s="4">
        <f t="shared" si="42"/>
        <v>1763.9576209296847</v>
      </c>
      <c r="EN69" s="3">
        <f t="shared" si="35"/>
        <v>402.50841938467761</v>
      </c>
      <c r="EO69">
        <v>7.1194132610167795</v>
      </c>
      <c r="EP69">
        <f t="shared" si="36"/>
        <v>409.62783264569441</v>
      </c>
      <c r="EQ69">
        <f>SUM($EP$10:EP69)</f>
        <v>25761.421857427089</v>
      </c>
      <c r="ER69">
        <f t="shared" si="37"/>
        <v>615697982.39250731</v>
      </c>
      <c r="ES69" s="4">
        <f t="shared" si="38"/>
        <v>366.30951462442226</v>
      </c>
    </row>
    <row r="70" spans="1:149" x14ac:dyDescent="0.25">
      <c r="A70" s="41"/>
      <c r="B70" s="39">
        <v>2050</v>
      </c>
      <c r="C70">
        <v>383977788</v>
      </c>
      <c r="D70" s="40">
        <f t="shared" si="6"/>
        <v>383.97778799999998</v>
      </c>
      <c r="E70" s="12">
        <f t="shared" si="102"/>
        <v>1059.7786948799999</v>
      </c>
      <c r="F70" s="5">
        <f t="shared" si="8"/>
        <v>487.49819964479997</v>
      </c>
      <c r="G70" s="13">
        <f t="shared" si="103"/>
        <v>392.11811710559994</v>
      </c>
      <c r="H70">
        <v>664</v>
      </c>
      <c r="I70" s="13">
        <f t="shared" si="104"/>
        <v>63.586721692799991</v>
      </c>
      <c r="J70">
        <v>88200</v>
      </c>
      <c r="K70" s="13">
        <v>0.46</v>
      </c>
      <c r="L70" s="14">
        <f t="shared" si="10"/>
        <v>-2460.0719148315466</v>
      </c>
      <c r="N70" s="7">
        <f t="shared" si="11"/>
        <v>744.65101778737267</v>
      </c>
      <c r="O70" s="5">
        <f t="shared" si="12"/>
        <v>667.66057777439994</v>
      </c>
      <c r="P70">
        <v>88200</v>
      </c>
      <c r="Q70" s="5">
        <v>0.46400000000000002</v>
      </c>
      <c r="R70" s="5">
        <f t="shared" si="13"/>
        <v>30474.69397274467</v>
      </c>
      <c r="S70" s="5">
        <f t="shared" si="14"/>
        <v>345.51807225334096</v>
      </c>
      <c r="T70" s="5">
        <f t="shared" si="15"/>
        <v>309.79450808732156</v>
      </c>
      <c r="U70" s="6">
        <f t="shared" si="16"/>
        <v>28675.152849809565</v>
      </c>
      <c r="W70" s="9">
        <f t="shared" si="17"/>
        <v>28675.152849809565</v>
      </c>
      <c r="AA70" s="19">
        <v>0.12</v>
      </c>
      <c r="AB70">
        <v>0.36</v>
      </c>
      <c r="AC70" s="6">
        <f t="shared" si="39"/>
        <v>1209.0752834058492</v>
      </c>
      <c r="AD70" s="5"/>
      <c r="AE70" s="5"/>
      <c r="AF70" s="5"/>
      <c r="AG70" s="5"/>
      <c r="AH70" s="13">
        <v>0.02</v>
      </c>
      <c r="AJ70" s="3">
        <v>1.7999999999999999E-2</v>
      </c>
      <c r="AK70">
        <f t="shared" si="18"/>
        <v>5.5763011455717875</v>
      </c>
      <c r="AL70" s="6">
        <f t="shared" si="19"/>
        <v>548.544491509404</v>
      </c>
      <c r="AO70" s="5">
        <f t="shared" si="93"/>
        <v>17.774492670292659</v>
      </c>
      <c r="AP70" s="5">
        <f t="shared" si="20"/>
        <v>5907.9450196082089</v>
      </c>
      <c r="AQ70" s="5">
        <f t="shared" si="94"/>
        <v>614.39845614279909</v>
      </c>
      <c r="AR70" s="6">
        <f t="shared" si="95"/>
        <v>352356.62167381833</v>
      </c>
      <c r="AS70" s="5"/>
      <c r="AT70" s="5"/>
      <c r="AV70" s="3">
        <f t="shared" si="96"/>
        <v>28050.403673992412</v>
      </c>
      <c r="AW70" s="5">
        <f t="shared" si="97"/>
        <v>491.73731442431995</v>
      </c>
      <c r="AX70" s="5">
        <v>469.72370697450731</v>
      </c>
      <c r="AZ70">
        <f t="shared" si="24"/>
        <v>0</v>
      </c>
      <c r="BA70" s="5">
        <f t="shared" si="25"/>
        <v>10.350719674353583</v>
      </c>
      <c r="BB70" s="5">
        <f t="shared" si="26"/>
        <v>10.350719674353583</v>
      </c>
      <c r="DM70">
        <f t="shared" ref="DM70:DW70" si="129">IF((DM$8-$B70)&gt;0,_xlfn.LOGNORM.DIST((DM$8-$B70+1),$BD$2,$BD$3,TRUE)-_xlfn.LOGNORM.DIST((DM$8-$B70),$BD$2,$BD$3,TRUE),_xlfn.LOGNORM.DIST((DM$8-$B70+1),$BD$2,$BD$3,TRUE))*$AW70</f>
        <v>5.9808904755024557</v>
      </c>
      <c r="DN70">
        <f t="shared" si="129"/>
        <v>25.214533901234404</v>
      </c>
      <c r="DO70">
        <f t="shared" si="129"/>
        <v>35.282903220447054</v>
      </c>
      <c r="DP70">
        <f t="shared" si="129"/>
        <v>37.541113198495744</v>
      </c>
      <c r="DQ70">
        <f t="shared" si="129"/>
        <v>36.205274180785409</v>
      </c>
      <c r="DR70">
        <f t="shared" si="129"/>
        <v>33.444283973321518</v>
      </c>
      <c r="DS70">
        <f t="shared" si="129"/>
        <v>30.261104960272966</v>
      </c>
      <c r="DT70">
        <f t="shared" si="129"/>
        <v>27.104657229131917</v>
      </c>
      <c r="DU70">
        <f t="shared" si="129"/>
        <v>24.164196249240696</v>
      </c>
      <c r="DV70">
        <f t="shared" si="129"/>
        <v>21.506845518316243</v>
      </c>
      <c r="DW70" s="4">
        <f t="shared" si="129"/>
        <v>19.142783012680518</v>
      </c>
      <c r="DZ70" s="8">
        <f t="shared" si="30"/>
        <v>561.00807347984824</v>
      </c>
      <c r="EB70" s="3">
        <f t="shared" si="31"/>
        <v>4571.2040959117003</v>
      </c>
      <c r="EF70" s="3">
        <f t="shared" si="32"/>
        <v>28598.948165501817</v>
      </c>
      <c r="EG70">
        <f t="shared" si="33"/>
        <v>0.86</v>
      </c>
      <c r="EH70">
        <f t="shared" si="34"/>
        <v>24595.095422331564</v>
      </c>
      <c r="EI70" s="4">
        <f>SUM($EH$10:EH70)</f>
        <v>1788552.7163520162</v>
      </c>
      <c r="EJ70" s="4">
        <f t="shared" si="42"/>
        <v>1788.5527163520162</v>
      </c>
      <c r="EN70" s="3">
        <f t="shared" si="35"/>
        <v>403.96238799807628</v>
      </c>
      <c r="EO70">
        <v>7.1466464243635706</v>
      </c>
      <c r="EP70">
        <f t="shared" si="36"/>
        <v>411.10903442243983</v>
      </c>
      <c r="EQ70">
        <f>SUM($EP$10:EP70)</f>
        <v>26172.530891849528</v>
      </c>
      <c r="ER70">
        <f t="shared" si="37"/>
        <v>625523488.31520367</v>
      </c>
      <c r="ES70" s="4">
        <f t="shared" si="38"/>
        <v>372.15519937313042</v>
      </c>
    </row>
    <row r="71" spans="1:149" x14ac:dyDescent="0.25">
      <c r="A71" s="41"/>
      <c r="B71" s="39">
        <v>2051</v>
      </c>
      <c r="C71">
        <v>385391489</v>
      </c>
      <c r="D71" s="40">
        <f t="shared" si="6"/>
        <v>385.39148899999998</v>
      </c>
      <c r="E71" s="12">
        <f t="shared" si="102"/>
        <v>1063.6805096399999</v>
      </c>
      <c r="F71" s="5">
        <f t="shared" si="8"/>
        <v>489.29303443439994</v>
      </c>
      <c r="G71" s="13">
        <f t="shared" si="103"/>
        <v>393.56178856679992</v>
      </c>
      <c r="H71">
        <v>664</v>
      </c>
      <c r="I71" s="13">
        <f t="shared" si="104"/>
        <v>63.820830578399992</v>
      </c>
      <c r="J71">
        <v>88200</v>
      </c>
      <c r="K71" s="13">
        <v>0.46</v>
      </c>
      <c r="L71" s="14">
        <f t="shared" si="10"/>
        <v>-2469.1292255270009</v>
      </c>
      <c r="N71" s="7">
        <f t="shared" si="11"/>
        <v>747.39261878981665</v>
      </c>
      <c r="O71" s="5">
        <f t="shared" si="12"/>
        <v>670.11872107319994</v>
      </c>
      <c r="P71">
        <v>88200</v>
      </c>
      <c r="Q71" s="5">
        <v>0.46400000000000002</v>
      </c>
      <c r="R71" s="5">
        <f t="shared" si="13"/>
        <v>30586.893445449488</v>
      </c>
      <c r="S71" s="5">
        <f t="shared" si="14"/>
        <v>346.79017511847496</v>
      </c>
      <c r="T71" s="5">
        <f t="shared" si="15"/>
        <v>310.9350865779648</v>
      </c>
      <c r="U71" s="6">
        <f t="shared" si="16"/>
        <v>28778.977576620866</v>
      </c>
      <c r="W71" s="9">
        <f t="shared" si="17"/>
        <v>28778.977576620866</v>
      </c>
      <c r="AA71" s="19">
        <v>0.12</v>
      </c>
      <c r="AB71">
        <v>0.36</v>
      </c>
      <c r="AC71" s="6">
        <f t="shared" si="39"/>
        <v>1211.777438716472</v>
      </c>
      <c r="AD71" s="5"/>
      <c r="AE71" s="5"/>
      <c r="AF71" s="5"/>
      <c r="AG71" s="5"/>
      <c r="AH71" s="13">
        <v>0.02</v>
      </c>
      <c r="AJ71" s="3">
        <v>1.7999999999999999E-2</v>
      </c>
      <c r="AK71">
        <f t="shared" si="18"/>
        <v>5.5968315584033661</v>
      </c>
      <c r="AL71" s="6">
        <f t="shared" si="19"/>
        <v>550.56408201809074</v>
      </c>
      <c r="AO71" s="5">
        <f t="shared" si="93"/>
        <v>17.873457021567503</v>
      </c>
      <c r="AP71" s="5">
        <f t="shared" si="20"/>
        <v>5925.8184766297763</v>
      </c>
      <c r="AQ71" s="5">
        <f t="shared" si="94"/>
        <v>652.59088506071487</v>
      </c>
      <c r="AR71" s="6">
        <f t="shared" si="95"/>
        <v>353009.21255887905</v>
      </c>
      <c r="AS71" s="5"/>
      <c r="AT71" s="5"/>
      <c r="AV71" s="3">
        <f t="shared" si="96"/>
        <v>28116.004657589096</v>
      </c>
      <c r="AW71" s="5">
        <f t="shared" si="97"/>
        <v>493.54775647295997</v>
      </c>
      <c r="AX71" s="5">
        <v>471.41957741283244</v>
      </c>
      <c r="AZ71">
        <f t="shared" si="24"/>
        <v>0</v>
      </c>
      <c r="BA71" s="5">
        <f t="shared" si="25"/>
        <v>10.382033971055369</v>
      </c>
      <c r="BB71" s="5">
        <f t="shared" si="26"/>
        <v>10.382033971055369</v>
      </c>
      <c r="DN71">
        <f t="shared" ref="DN71:DW71" si="130">IF((DN$8-$B71)&gt;0,_xlfn.LOGNORM.DIST((DN$8-$B71+1),$BD$2,$BD$3,TRUE)-_xlfn.LOGNORM.DIST((DN$8-$B71),$BD$2,$BD$3,TRUE),_xlfn.LOGNORM.DIST((DN$8-$B71+1),$BD$2,$BD$3,TRUE))*$AW71</f>
        <v>6.0029104753835645</v>
      </c>
      <c r="DO71">
        <f t="shared" si="130"/>
        <v>25.307366905915156</v>
      </c>
      <c r="DP71">
        <f t="shared" si="130"/>
        <v>35.412805202083682</v>
      </c>
      <c r="DQ71">
        <f t="shared" si="130"/>
        <v>37.679329290489655</v>
      </c>
      <c r="DR71">
        <f t="shared" si="130"/>
        <v>36.338572079555142</v>
      </c>
      <c r="DS71">
        <f t="shared" si="130"/>
        <v>33.56741666269825</v>
      </c>
      <c r="DT71">
        <f t="shared" si="130"/>
        <v>30.372518056760317</v>
      </c>
      <c r="DU71">
        <f t="shared" si="130"/>
        <v>27.204449149985113</v>
      </c>
      <c r="DV71">
        <f t="shared" si="130"/>
        <v>24.253162198494376</v>
      </c>
      <c r="DW71" s="4">
        <f t="shared" si="130"/>
        <v>21.586027830330838</v>
      </c>
      <c r="DZ71" s="8">
        <f t="shared" si="30"/>
        <v>562.32009315178198</v>
      </c>
      <c r="EB71" s="3">
        <f t="shared" si="31"/>
        <v>4588.0340168174234</v>
      </c>
      <c r="EF71" s="3">
        <f t="shared" si="32"/>
        <v>28666.568739607188</v>
      </c>
      <c r="EG71">
        <f t="shared" si="33"/>
        <v>0.86</v>
      </c>
      <c r="EH71">
        <f t="shared" si="34"/>
        <v>24653.249116062183</v>
      </c>
      <c r="EI71" s="4">
        <f>SUM($EH$10:EH71)</f>
        <v>1813205.9654680784</v>
      </c>
      <c r="EJ71" s="4">
        <f t="shared" si="42"/>
        <v>1813.2059654680784</v>
      </c>
      <c r="EN71" s="3">
        <f t="shared" si="35"/>
        <v>405.42083657503588</v>
      </c>
      <c r="EO71">
        <v>7.1812014572858844</v>
      </c>
      <c r="EP71">
        <f t="shared" si="36"/>
        <v>412.60203803232179</v>
      </c>
      <c r="EQ71">
        <f>SUM($EP$10:EP71)</f>
        <v>26585.132929881849</v>
      </c>
      <c r="ER71">
        <f t="shared" si="37"/>
        <v>635384677.02417612</v>
      </c>
      <c r="ES71" s="4">
        <f t="shared" si="38"/>
        <v>378.02211359553365</v>
      </c>
    </row>
    <row r="72" spans="1:149" x14ac:dyDescent="0.25">
      <c r="A72" s="41"/>
      <c r="B72" s="39">
        <v>2052</v>
      </c>
      <c r="C72">
        <v>386813529</v>
      </c>
      <c r="D72" s="40">
        <f t="shared" si="6"/>
        <v>386.81352900000002</v>
      </c>
      <c r="E72" s="12">
        <f t="shared" si="102"/>
        <v>1067.6053400399999</v>
      </c>
      <c r="F72" s="5">
        <f t="shared" si="8"/>
        <v>491.09845641839996</v>
      </c>
      <c r="G72" s="13">
        <f t="shared" si="103"/>
        <v>395.01397581479995</v>
      </c>
      <c r="H72">
        <v>664</v>
      </c>
      <c r="I72" s="13">
        <f t="shared" si="104"/>
        <v>64.05632040239999</v>
      </c>
      <c r="J72">
        <v>88200</v>
      </c>
      <c r="K72" s="13">
        <v>0.46</v>
      </c>
      <c r="L72" s="14">
        <f t="shared" si="10"/>
        <v>-2478.2399625933003</v>
      </c>
      <c r="N72" s="7">
        <f t="shared" si="11"/>
        <v>750.15039167780026</v>
      </c>
      <c r="O72" s="5">
        <f t="shared" si="12"/>
        <v>672.59136422519987</v>
      </c>
      <c r="P72">
        <v>88200</v>
      </c>
      <c r="Q72" s="5">
        <v>0.46400000000000002</v>
      </c>
      <c r="R72" s="5">
        <f t="shared" si="13"/>
        <v>30699.75474933564</v>
      </c>
      <c r="S72" s="5">
        <f t="shared" si="14"/>
        <v>348.06978173849933</v>
      </c>
      <c r="T72" s="5">
        <f t="shared" si="15"/>
        <v>312.08239300049274</v>
      </c>
      <c r="U72" s="6">
        <f t="shared" si="16"/>
        <v>28883.53060246215</v>
      </c>
      <c r="W72" s="9">
        <f t="shared" si="17"/>
        <v>28883.53060246215</v>
      </c>
      <c r="AA72" s="19">
        <v>0.12</v>
      </c>
      <c r="AB72">
        <v>0.36</v>
      </c>
      <c r="AC72" s="6">
        <f t="shared" si="39"/>
        <v>1214.6114012078488</v>
      </c>
      <c r="AD72" s="5"/>
      <c r="AE72" s="5"/>
      <c r="AF72" s="5"/>
      <c r="AG72" s="5"/>
      <c r="AH72" s="13">
        <v>0.02</v>
      </c>
      <c r="AJ72" s="3">
        <v>1.7999999999999999E-2</v>
      </c>
      <c r="AK72">
        <f t="shared" si="18"/>
        <v>5.6174830740088693</v>
      </c>
      <c r="AL72" s="6">
        <f t="shared" si="19"/>
        <v>552.59558548804148</v>
      </c>
      <c r="AO72" s="5">
        <f t="shared" si="93"/>
        <v>17.977254872382105</v>
      </c>
      <c r="AP72" s="5">
        <f t="shared" si="20"/>
        <v>5943.7957315021586</v>
      </c>
      <c r="AQ72" s="5">
        <f t="shared" si="94"/>
        <v>688.63193136835093</v>
      </c>
      <c r="AR72" s="6">
        <f t="shared" si="95"/>
        <v>353697.84449024743</v>
      </c>
      <c r="AS72" s="5"/>
      <c r="AT72" s="5"/>
      <c r="AV72" s="3">
        <f t="shared" si="96"/>
        <v>28184.485140972207</v>
      </c>
      <c r="AW72" s="5">
        <f t="shared" si="97"/>
        <v>495.36887777855998</v>
      </c>
      <c r="AX72" s="5">
        <v>473.12120154601786</v>
      </c>
      <c r="AZ72">
        <f t="shared" si="24"/>
        <v>0</v>
      </c>
      <c r="BA72" s="5">
        <f t="shared" si="25"/>
        <v>10.413530121591782</v>
      </c>
      <c r="BB72" s="5">
        <f t="shared" si="26"/>
        <v>10.413530121591782</v>
      </c>
      <c r="DO72">
        <f t="shared" ref="DO72:DW72" si="131">IF((DO$8-$B72)&gt;0,_xlfn.LOGNORM.DIST((DO$8-$B72+1),$BD$2,$BD$3,TRUE)-_xlfn.LOGNORM.DIST((DO$8-$B72),$BD$2,$BD$3,TRUE),_xlfn.LOGNORM.DIST((DO$8-$B72+1),$BD$2,$BD$3,TRUE))*$AW72</f>
        <v>6.025060364667743</v>
      </c>
      <c r="DP72">
        <f t="shared" si="131"/>
        <v>25.400747504766127</v>
      </c>
      <c r="DQ72">
        <f t="shared" si="131"/>
        <v>35.543473436715018</v>
      </c>
      <c r="DR72">
        <f t="shared" si="131"/>
        <v>37.818360677932283</v>
      </c>
      <c r="DS72">
        <f t="shared" si="131"/>
        <v>36.472656262820564</v>
      </c>
      <c r="DT72">
        <f t="shared" si="131"/>
        <v>33.69127567503628</v>
      </c>
      <c r="DU72">
        <f t="shared" si="131"/>
        <v>30.484588345830542</v>
      </c>
      <c r="DV72">
        <f t="shared" si="131"/>
        <v>27.304829713576762</v>
      </c>
      <c r="DW72" s="4">
        <f t="shared" si="131"/>
        <v>24.3426529313132</v>
      </c>
      <c r="DZ72" s="8">
        <f t="shared" si="30"/>
        <v>563.68970281944416</v>
      </c>
      <c r="EB72" s="3">
        <f t="shared" si="31"/>
        <v>4604.9632124003456</v>
      </c>
      <c r="EF72" s="3">
        <f t="shared" si="32"/>
        <v>28737.080726460248</v>
      </c>
      <c r="EG72">
        <f t="shared" si="33"/>
        <v>0.86</v>
      </c>
      <c r="EH72">
        <f t="shared" si="34"/>
        <v>24713.889424755813</v>
      </c>
      <c r="EI72" s="4">
        <f>SUM($EH$10:EH72)</f>
        <v>1837919.8548928341</v>
      </c>
      <c r="EJ72" s="4">
        <f t="shared" si="42"/>
        <v>1837.9198548928341</v>
      </c>
      <c r="EN72" s="3">
        <f t="shared" si="35"/>
        <v>406.88423332957535</v>
      </c>
      <c r="EO72">
        <v>7.2166523675450387</v>
      </c>
      <c r="EP72">
        <f t="shared" si="36"/>
        <v>414.10088569712042</v>
      </c>
      <c r="EQ72">
        <f>SUM($EP$10:EP72)</f>
        <v>26999.233815578969</v>
      </c>
      <c r="ER72">
        <f t="shared" si="37"/>
        <v>645281688.19233727</v>
      </c>
      <c r="ES72" s="4">
        <f t="shared" si="38"/>
        <v>383.91034039003108</v>
      </c>
    </row>
    <row r="73" spans="1:149" x14ac:dyDescent="0.25">
      <c r="A73" s="41"/>
      <c r="B73" s="39">
        <v>2053</v>
      </c>
      <c r="C73">
        <v>388244698</v>
      </c>
      <c r="D73" s="40">
        <f t="shared" si="6"/>
        <v>388.24469800000003</v>
      </c>
      <c r="E73" s="12">
        <f t="shared" si="102"/>
        <v>1071.55536648</v>
      </c>
      <c r="F73" s="5">
        <f t="shared" si="8"/>
        <v>492.9154685808</v>
      </c>
      <c r="G73" s="13">
        <f>E73*$L$3</f>
        <v>396.47548559759997</v>
      </c>
      <c r="H73">
        <v>664</v>
      </c>
      <c r="I73" s="13">
        <f t="shared" si="104"/>
        <v>64.293321988800002</v>
      </c>
      <c r="J73">
        <v>88200</v>
      </c>
      <c r="K73" s="13">
        <v>0.46</v>
      </c>
      <c r="L73" s="14">
        <f t="shared" si="10"/>
        <v>-2487.409187408663</v>
      </c>
      <c r="N73" s="7">
        <f t="shared" si="11"/>
        <v>752.92586850427699</v>
      </c>
      <c r="O73" s="5">
        <f t="shared" si="12"/>
        <v>675.07988088239995</v>
      </c>
      <c r="P73">
        <v>88200</v>
      </c>
      <c r="Q73" s="5">
        <v>0.46400000000000002</v>
      </c>
      <c r="R73" s="5">
        <f t="shared" si="13"/>
        <v>30813.340583363839</v>
      </c>
      <c r="S73" s="5">
        <f t="shared" si="14"/>
        <v>349.35760298598456</v>
      </c>
      <c r="T73" s="5">
        <f t="shared" si="15"/>
        <v>313.2370647294336</v>
      </c>
      <c r="U73" s="6">
        <f t="shared" si="16"/>
        <v>28988.861023544625</v>
      </c>
      <c r="W73" s="9">
        <f t="shared" si="17"/>
        <v>28988.861023544625</v>
      </c>
      <c r="AA73" s="19">
        <v>0.12</v>
      </c>
      <c r="AB73">
        <v>0.36</v>
      </c>
      <c r="AC73" s="6">
        <f t="shared" si="39"/>
        <v>1217.5697580899991</v>
      </c>
      <c r="AD73" s="5"/>
      <c r="AE73" s="5"/>
      <c r="AF73" s="5"/>
      <c r="AG73" s="5"/>
      <c r="AH73" s="13">
        <v>0.02</v>
      </c>
      <c r="AJ73" s="3">
        <v>1.7999999999999999E-2</v>
      </c>
      <c r="AK73">
        <f t="shared" si="18"/>
        <v>5.638267165129804</v>
      </c>
      <c r="AL73" s="6">
        <f t="shared" si="19"/>
        <v>554.64013050054905</v>
      </c>
      <c r="AO73" s="5">
        <f t="shared" si="93"/>
        <v>18.086140591006881</v>
      </c>
      <c r="AP73" s="5">
        <f t="shared" si="20"/>
        <v>5961.8818720931658</v>
      </c>
      <c r="AQ73" s="5">
        <f t="shared" si="94"/>
        <v>722.71567861724725</v>
      </c>
      <c r="AR73" s="6">
        <f t="shared" si="95"/>
        <v>354420.56016886467</v>
      </c>
      <c r="AS73" s="5"/>
      <c r="AT73" s="5"/>
      <c r="AV73" s="3">
        <f t="shared" si="96"/>
        <v>28255.70012788747</v>
      </c>
      <c r="AW73" s="5">
        <f t="shared" si="97"/>
        <v>497.20169004671999</v>
      </c>
      <c r="AX73" s="5">
        <v>474.82932798979311</v>
      </c>
      <c r="AZ73">
        <f t="shared" si="24"/>
        <v>0</v>
      </c>
      <c r="BA73" s="5">
        <f t="shared" si="25"/>
        <v>10.445217039907227</v>
      </c>
      <c r="BB73" s="5">
        <f t="shared" si="26"/>
        <v>10.445217039907227</v>
      </c>
      <c r="DP73">
        <f t="shared" ref="DP73:DW73" si="132">IF((DP$8-$B73)&gt;0,_xlfn.LOGNORM.DIST((DP$8-$B73+1),$BD$2,$BD$3,TRUE)-_xlfn.LOGNORM.DIST((DP$8-$B73),$BD$2,$BD$3,TRUE),_xlfn.LOGNORM.DIST((DP$8-$B73+1),$BD$2,$BD$3,TRUE))*$AW73</f>
        <v>6.0473524485029007</v>
      </c>
      <c r="DQ73">
        <f t="shared" si="132"/>
        <v>25.494727574438532</v>
      </c>
      <c r="DR73">
        <f t="shared" si="132"/>
        <v>35.67498051576279</v>
      </c>
      <c r="DS73">
        <f t="shared" si="132"/>
        <v>37.958284598310662</v>
      </c>
      <c r="DT73">
        <f t="shared" si="132"/>
        <v>36.607601219699276</v>
      </c>
      <c r="DU73">
        <f t="shared" si="132"/>
        <v>33.815929818962481</v>
      </c>
      <c r="DV73">
        <f t="shared" si="132"/>
        <v>30.597378087004031</v>
      </c>
      <c r="DW73" s="4">
        <f t="shared" si="132"/>
        <v>27.405854685317991</v>
      </c>
      <c r="DZ73" s="8">
        <f t="shared" si="30"/>
        <v>565.11400255774947</v>
      </c>
      <c r="EB73" s="3">
        <f t="shared" si="31"/>
        <v>4622.0010875045755</v>
      </c>
      <c r="EF73" s="3">
        <f t="shared" si="32"/>
        <v>28810.34025838802</v>
      </c>
      <c r="EG73">
        <f t="shared" si="33"/>
        <v>0.86</v>
      </c>
      <c r="EH73">
        <f t="shared" si="34"/>
        <v>24776.892622213698</v>
      </c>
      <c r="EI73" s="4">
        <f>SUM($EH$10:EH73)</f>
        <v>1862696.7475150479</v>
      </c>
      <c r="EJ73" s="4">
        <f t="shared" si="42"/>
        <v>1862.6967475150479</v>
      </c>
      <c r="EN73" s="3">
        <f t="shared" si="35"/>
        <v>408.35322207122209</v>
      </c>
      <c r="EO73">
        <v>7.2530747259409978</v>
      </c>
      <c r="EP73">
        <f t="shared" si="36"/>
        <v>415.60629679716311</v>
      </c>
      <c r="EQ73">
        <f>SUM($EP$10:EP73)</f>
        <v>27414.840112376132</v>
      </c>
      <c r="ER73">
        <f t="shared" si="37"/>
        <v>655214678.68578959</v>
      </c>
      <c r="ES73" s="4">
        <f t="shared" si="38"/>
        <v>389.81997308411053</v>
      </c>
    </row>
    <row r="74" spans="1:149" x14ac:dyDescent="0.25">
      <c r="A74" s="41"/>
      <c r="B74" s="39">
        <v>2054</v>
      </c>
      <c r="C74">
        <v>389685840</v>
      </c>
      <c r="D74" s="40">
        <f t="shared" si="6"/>
        <v>389.68583999999998</v>
      </c>
      <c r="E74" s="12">
        <f t="shared" si="102"/>
        <v>1075.5329184</v>
      </c>
      <c r="F74" s="5">
        <f t="shared" si="8"/>
        <v>494.74514246400003</v>
      </c>
      <c r="G74" s="13">
        <f t="shared" si="103"/>
        <v>397.94717980799999</v>
      </c>
      <c r="H74">
        <v>664</v>
      </c>
      <c r="I74" s="13">
        <f t="shared" si="104"/>
        <v>64.531975103999997</v>
      </c>
      <c r="J74">
        <v>88200</v>
      </c>
      <c r="K74" s="13">
        <v>0.46</v>
      </c>
      <c r="L74" s="14">
        <f t="shared" si="10"/>
        <v>-2496.6423073189326</v>
      </c>
      <c r="N74" s="7">
        <f t="shared" si="11"/>
        <v>755.72068604480648</v>
      </c>
      <c r="O74" s="5">
        <f t="shared" si="12"/>
        <v>677.58573859199998</v>
      </c>
      <c r="P74">
        <v>88200</v>
      </c>
      <c r="Q74" s="5">
        <v>0.46400000000000002</v>
      </c>
      <c r="R74" s="5">
        <f t="shared" si="13"/>
        <v>30927.717932246498</v>
      </c>
      <c r="S74" s="5">
        <f t="shared" si="14"/>
        <v>350.65439832479024</v>
      </c>
      <c r="T74" s="5">
        <f t="shared" si="15"/>
        <v>314.39978270668803</v>
      </c>
      <c r="U74" s="6">
        <f t="shared" si="16"/>
        <v>29095.022947671867</v>
      </c>
      <c r="W74" s="9">
        <f t="shared" si="17"/>
        <v>29095.022947671867</v>
      </c>
      <c r="AA74" s="19">
        <v>0.12</v>
      </c>
      <c r="AB74">
        <v>0.36</v>
      </c>
      <c r="AC74" s="6">
        <f t="shared" si="39"/>
        <v>1220.6462455247386</v>
      </c>
      <c r="AD74" s="5"/>
      <c r="AE74" s="5"/>
      <c r="AF74" s="5"/>
      <c r="AG74" s="5"/>
      <c r="AH74" s="13">
        <v>0.02</v>
      </c>
      <c r="AJ74" s="3">
        <v>1.7999999999999999E-2</v>
      </c>
      <c r="AK74">
        <f t="shared" si="18"/>
        <v>5.6591960887203845</v>
      </c>
      <c r="AL74" s="6">
        <f t="shared" si="19"/>
        <v>556.69892278043687</v>
      </c>
      <c r="AO74" s="5">
        <f t="shared" ref="AO74:AO80" si="133">F74-AX74</f>
        <v>18.200362856415666</v>
      </c>
      <c r="AP74" s="5">
        <f t="shared" si="20"/>
        <v>5980.0822349495811</v>
      </c>
      <c r="AQ74" s="5">
        <f t="shared" ref="AQ74:AQ80" si="134">W74-AV74-BB74</f>
        <v>755.02315971759128</v>
      </c>
      <c r="AR74" s="6">
        <f t="shared" ref="AR74:AR80" si="135">AQ74+AR73</f>
        <v>355175.58332858229</v>
      </c>
      <c r="AS74" s="5"/>
      <c r="AT74" s="5"/>
      <c r="AV74" s="3">
        <f t="shared" ref="AV74:AV80" si="136">AX74/AP73*AR73</f>
        <v>28329.522683878644</v>
      </c>
      <c r="AW74" s="5">
        <f t="shared" ref="AW74:AW80" si="137">E74*Q74</f>
        <v>499.04727413760003</v>
      </c>
      <c r="AX74" s="5">
        <v>476.54477960758436</v>
      </c>
      <c r="AZ74">
        <f t="shared" si="24"/>
        <v>0</v>
      </c>
      <c r="BA74" s="5">
        <f t="shared" si="25"/>
        <v>10.477104075631667</v>
      </c>
      <c r="BB74" s="5">
        <f t="shared" si="26"/>
        <v>10.477104075631667</v>
      </c>
      <c r="DQ74">
        <f t="shared" ref="DQ74:DW74" si="138">IF((DQ$8-$B74)&gt;0,_xlfn.LOGNORM.DIST((DQ$8-$B74+1),$BD$2,$BD$3,TRUE)-_xlfn.LOGNORM.DIST((DQ$8-$B74),$BD$2,$BD$3,TRUE),_xlfn.LOGNORM.DIST((DQ$8-$B74+1),$BD$2,$BD$3,TRUE))*$AW74</f>
        <v>6.0697998731483249</v>
      </c>
      <c r="DR74">
        <f t="shared" si="138"/>
        <v>25.589362537582531</v>
      </c>
      <c r="DS74">
        <f t="shared" si="138"/>
        <v>35.807403992594011</v>
      </c>
      <c r="DT74">
        <f t="shared" si="138"/>
        <v>38.099183568636278</v>
      </c>
      <c r="DU74">
        <f t="shared" si="138"/>
        <v>36.743486530970053</v>
      </c>
      <c r="DV74">
        <f t="shared" si="138"/>
        <v>33.941452606478201</v>
      </c>
      <c r="DW74" s="4">
        <f t="shared" si="138"/>
        <v>30.71095379551522</v>
      </c>
      <c r="DZ74" s="8">
        <f t="shared" si="30"/>
        <v>566.5904536775729</v>
      </c>
      <c r="EB74" s="3">
        <f t="shared" si="31"/>
        <v>4639.1576898369749</v>
      </c>
      <c r="EF74" s="3">
        <f t="shared" si="32"/>
        <v>28886.221606659081</v>
      </c>
      <c r="EG74">
        <f t="shared" si="33"/>
        <v>0.86</v>
      </c>
      <c r="EH74">
        <f t="shared" si="34"/>
        <v>24842.150581726808</v>
      </c>
      <c r="EI74" s="4">
        <f>SUM($EH$10:EH74)</f>
        <v>1887538.8980967747</v>
      </c>
      <c r="EJ74" s="4">
        <f t="shared" si="42"/>
        <v>1887.5388980967748</v>
      </c>
      <c r="EN74" s="3">
        <f t="shared" si="35"/>
        <v>409.82851046252256</v>
      </c>
      <c r="EO74">
        <v>7.29039771588549</v>
      </c>
      <c r="EP74">
        <f t="shared" si="36"/>
        <v>417.11890817840805</v>
      </c>
      <c r="EQ74">
        <f>SUM($EP$10:EP74)</f>
        <v>27831.959020554539</v>
      </c>
      <c r="ER74">
        <f t="shared" si="37"/>
        <v>665183820.59125352</v>
      </c>
      <c r="ES74" s="4">
        <f t="shared" si="38"/>
        <v>395.75111406076627</v>
      </c>
    </row>
    <row r="75" spans="1:149" x14ac:dyDescent="0.25">
      <c r="A75" s="41"/>
      <c r="B75" s="39">
        <v>2055</v>
      </c>
      <c r="C75">
        <v>391137825</v>
      </c>
      <c r="D75" s="40">
        <f t="shared" ref="D75:D80" si="139">C75/1000000</f>
        <v>391.13782500000002</v>
      </c>
      <c r="E75" s="12">
        <f t="shared" si="102"/>
        <v>1079.540397</v>
      </c>
      <c r="F75" s="5">
        <f t="shared" ref="F75:F80" si="140">E75*K75</f>
        <v>496.58858262000001</v>
      </c>
      <c r="G75" s="13">
        <f t="shared" si="103"/>
        <v>399.42994689</v>
      </c>
      <c r="H75">
        <v>664</v>
      </c>
      <c r="I75" s="13">
        <f t="shared" si="104"/>
        <v>64.77242382</v>
      </c>
      <c r="J75">
        <v>88200</v>
      </c>
      <c r="K75" s="13">
        <v>0.46</v>
      </c>
      <c r="L75" s="14">
        <f t="shared" ref="L75:L80" si="141">(G75*H75*K75-I75*J75*K75)/1000</f>
        <v>-2505.9448962469587</v>
      </c>
      <c r="N75" s="7">
        <f t="shared" ref="N75:N80" si="142">(E75-G75+I75)/$Q$1</f>
        <v>758.53653149694503</v>
      </c>
      <c r="O75" s="5">
        <f t="shared" ref="O75:O80" si="143">E75-G75</f>
        <v>680.11045010999999</v>
      </c>
      <c r="P75">
        <v>88200</v>
      </c>
      <c r="Q75" s="5">
        <v>0.46400000000000002</v>
      </c>
      <c r="R75" s="5">
        <f t="shared" ref="R75:R80" si="144">N75*P75*Q75/1000</f>
        <v>31042.955844206175</v>
      </c>
      <c r="S75" s="5">
        <f t="shared" ref="S75:S80" si="145">N75*Q75</f>
        <v>351.96095061458249</v>
      </c>
      <c r="T75" s="5">
        <f t="shared" ref="T75:T80" si="146">O75*Q75</f>
        <v>315.57124885104002</v>
      </c>
      <c r="U75" s="6">
        <f t="shared" ref="U75:U80" si="147">L75+R75+AC75-AL75</f>
        <v>29202.073122707065</v>
      </c>
      <c r="W75" s="9">
        <f t="shared" ref="W75:W80" si="148">U75</f>
        <v>29202.073122707065</v>
      </c>
      <c r="AA75" s="19">
        <v>0.12</v>
      </c>
      <c r="AB75">
        <v>0.36</v>
      </c>
      <c r="AC75" s="6">
        <f t="shared" si="39"/>
        <v>1223.8353799435572</v>
      </c>
      <c r="AD75" s="5"/>
      <c r="AE75" s="5"/>
      <c r="AF75" s="5"/>
      <c r="AG75" s="5"/>
      <c r="AH75" s="13">
        <v>0.02</v>
      </c>
      <c r="AJ75" s="3">
        <v>1.7999999999999999E-2</v>
      </c>
      <c r="AK75">
        <f t="shared" ref="AK75:AK80" si="149">T75*AJ75</f>
        <v>5.6802824793187199</v>
      </c>
      <c r="AL75" s="6">
        <f t="shared" ref="AL75:AL80" si="150">R75*0.12*0.15</f>
        <v>558.77320519571106</v>
      </c>
      <c r="AO75" s="5">
        <f t="shared" si="133"/>
        <v>18.320188679916669</v>
      </c>
      <c r="AP75" s="5">
        <f t="shared" ref="AP75:AP80" si="151">AO75+AP74</f>
        <v>5998.4024236294981</v>
      </c>
      <c r="AQ75" s="5">
        <f t="shared" si="134"/>
        <v>785.72448144028078</v>
      </c>
      <c r="AR75" s="6">
        <f t="shared" si="135"/>
        <v>355961.30781002255</v>
      </c>
      <c r="AS75" s="5"/>
      <c r="AT75" s="5"/>
      <c r="AV75" s="3">
        <f t="shared" si="136"/>
        <v>28405.839440220585</v>
      </c>
      <c r="AW75" s="5">
        <f t="shared" si="137"/>
        <v>500.90674420800002</v>
      </c>
      <c r="AX75" s="5">
        <v>478.26839394008334</v>
      </c>
      <c r="AZ75">
        <f t="shared" ref="AZ75:AZ80" si="152">AP75*$BE$4/1000</f>
        <v>0</v>
      </c>
      <c r="BA75" s="5">
        <f t="shared" ref="BA75:BA80" si="153">AP75*$BE$5/1000</f>
        <v>10.50920104619888</v>
      </c>
      <c r="BB75" s="5">
        <f t="shared" ref="BB75:BB80" si="154">AZ75+BA75</f>
        <v>10.50920104619888</v>
      </c>
      <c r="DR75">
        <f t="shared" ref="DR75:DW75" si="155">IF((DR$8-$B75)&gt;0,_xlfn.LOGNORM.DIST((DR$8-$B75+1),$BD$2,$BD$3,TRUE)-_xlfn.LOGNORM.DIST((DR$8-$B75),$BD$2,$BD$3,TRUE),_xlfn.LOGNORM.DIST((DR$8-$B75+1),$BD$2,$BD$3,TRUE))*$AW75</f>
        <v>6.0924161898428535</v>
      </c>
      <c r="DS75">
        <f t="shared" si="155"/>
        <v>25.684709524181098</v>
      </c>
      <c r="DT75">
        <f t="shared" si="155"/>
        <v>35.940823809660465</v>
      </c>
      <c r="DU75">
        <f t="shared" si="155"/>
        <v>38.241142647913847</v>
      </c>
      <c r="DV75">
        <f t="shared" si="155"/>
        <v>36.880394228952284</v>
      </c>
      <c r="DW75" s="4">
        <f t="shared" si="155"/>
        <v>34.067919814172527</v>
      </c>
      <c r="DZ75" s="8">
        <f t="shared" ref="DZ75:DZ80" si="156">AV75*AH75</f>
        <v>568.11678880441173</v>
      </c>
      <c r="EB75" s="3">
        <f t="shared" ref="EB75:EB80" si="157">R75*$ED$1</f>
        <v>4656.4433766309257</v>
      </c>
      <c r="EF75" s="3">
        <f t="shared" ref="EF75:EF80" si="158">AL75+AV75</f>
        <v>28964.612645416295</v>
      </c>
      <c r="EG75">
        <f t="shared" ref="EG75:EG80" si="159">1-AA75-AH75</f>
        <v>0.86</v>
      </c>
      <c r="EH75">
        <f t="shared" ref="EH75:EH80" si="160">EF75*EG75</f>
        <v>24909.566875058012</v>
      </c>
      <c r="EI75" s="4">
        <f>SUM($EH$10:EH75)</f>
        <v>1912448.4649718327</v>
      </c>
      <c r="EJ75" s="4">
        <f t="shared" ref="EJ75:EJ80" si="161">EI75/1000</f>
        <v>1912.4484649718327</v>
      </c>
      <c r="EN75" s="3">
        <f t="shared" ref="EN75:EN80" si="162">AX75*EG75</f>
        <v>411.31081878847169</v>
      </c>
      <c r="EO75">
        <v>7.3287009042519244</v>
      </c>
      <c r="EP75">
        <f t="shared" ref="EP75:EP80" si="163">EN75+EO75</f>
        <v>418.63951969272364</v>
      </c>
      <c r="EQ75">
        <f>SUM($EP$10:EP75)</f>
        <v>28250.598540247262</v>
      </c>
      <c r="ER75">
        <f t="shared" ref="ER75:ER80" si="164">EQ75*23.9*1000</f>
        <v>675189305.11190951</v>
      </c>
      <c r="ES75" s="4">
        <f t="shared" ref="ES75:ES80" si="165">ER75*$EQ$4/140*365/1000000*0.035*$ER$5</f>
        <v>401.70387707633057</v>
      </c>
    </row>
    <row r="76" spans="1:149" x14ac:dyDescent="0.25">
      <c r="A76" s="41"/>
      <c r="B76" s="39">
        <v>2056</v>
      </c>
      <c r="C76">
        <v>392601578</v>
      </c>
      <c r="D76" s="40">
        <f t="shared" si="139"/>
        <v>392.60157800000002</v>
      </c>
      <c r="E76" s="12">
        <f t="shared" si="102"/>
        <v>1083.58035528</v>
      </c>
      <c r="F76" s="5">
        <f t="shared" si="140"/>
        <v>498.44696342880002</v>
      </c>
      <c r="G76" s="13">
        <f t="shared" si="103"/>
        <v>400.92473145360003</v>
      </c>
      <c r="H76">
        <v>664</v>
      </c>
      <c r="I76" s="13">
        <f t="shared" si="104"/>
        <v>65.014821316799996</v>
      </c>
      <c r="J76">
        <v>88200</v>
      </c>
      <c r="K76" s="13">
        <v>0.46</v>
      </c>
      <c r="L76" s="14">
        <f t="shared" si="141"/>
        <v>-2515.3228804900223</v>
      </c>
      <c r="N76" s="7">
        <f t="shared" si="142"/>
        <v>761.37519872016287</v>
      </c>
      <c r="O76" s="5">
        <f t="shared" si="143"/>
        <v>682.65562382639996</v>
      </c>
      <c r="P76">
        <v>88200</v>
      </c>
      <c r="Q76" s="5">
        <v>0.46400000000000002</v>
      </c>
      <c r="R76" s="5">
        <f t="shared" si="144"/>
        <v>31159.127732582925</v>
      </c>
      <c r="S76" s="5">
        <f t="shared" si="145"/>
        <v>353.27809220615558</v>
      </c>
      <c r="T76" s="5">
        <f t="shared" si="146"/>
        <v>316.75220945544959</v>
      </c>
      <c r="U76" s="6">
        <f t="shared" si="147"/>
        <v>29310.072816723943</v>
      </c>
      <c r="W76" s="9">
        <f t="shared" si="148"/>
        <v>29310.072816723943</v>
      </c>
      <c r="AA76" s="19">
        <v>0.12</v>
      </c>
      <c r="AB76">
        <v>0.36</v>
      </c>
      <c r="AC76" s="6">
        <f t="shared" ref="AC76:AC80" si="166">AV75*AA76*AB76</f>
        <v>1227.1322638175291</v>
      </c>
      <c r="AD76" s="5"/>
      <c r="AE76" s="5"/>
      <c r="AF76" s="5"/>
      <c r="AG76" s="5"/>
      <c r="AH76" s="13">
        <v>0.02</v>
      </c>
      <c r="AJ76" s="3">
        <v>1.7999999999999999E-2</v>
      </c>
      <c r="AK76">
        <f t="shared" si="149"/>
        <v>5.7015397701980923</v>
      </c>
      <c r="AL76" s="6">
        <f t="shared" si="150"/>
        <v>560.86429918649264</v>
      </c>
      <c r="AO76" s="5">
        <f t="shared" si="133"/>
        <v>18.445961112771158</v>
      </c>
      <c r="AP76" s="5">
        <f t="shared" si="151"/>
        <v>6016.8483847422694</v>
      </c>
      <c r="AQ76" s="5">
        <f t="shared" si="134"/>
        <v>814.98283567326087</v>
      </c>
      <c r="AR76" s="6">
        <f t="shared" si="135"/>
        <v>356776.29064569582</v>
      </c>
      <c r="AS76" s="5"/>
      <c r="AT76" s="5"/>
      <c r="AV76" s="3">
        <f t="shared" si="136"/>
        <v>28484.548462680614</v>
      </c>
      <c r="AW76" s="5">
        <f t="shared" si="137"/>
        <v>502.78128484992004</v>
      </c>
      <c r="AX76" s="5">
        <v>480.00100231602886</v>
      </c>
      <c r="AZ76">
        <f t="shared" si="152"/>
        <v>0</v>
      </c>
      <c r="BA76" s="5">
        <f t="shared" si="153"/>
        <v>10.541518370068456</v>
      </c>
      <c r="BB76" s="5">
        <f t="shared" si="154"/>
        <v>10.541518370068456</v>
      </c>
      <c r="DS76">
        <f>IF((DS$8-$B76)&gt;0,_xlfn.LOGNORM.DIST((DS$8-$B76+1),$BD$2,$BD$3,TRUE)-_xlfn.LOGNORM.DIST((DS$8-$B76),$BD$2,$BD$3,TRUE),_xlfn.LOGNORM.DIST((DS$8-$B76+1),$BD$2,$BD$3,TRUE))*$AW76</f>
        <v>6.115215806512837</v>
      </c>
      <c r="DT76">
        <f>IF((DT$8-$B76)&gt;0,_xlfn.LOGNORM.DIST((DT$8-$B76+1),$BD$2,$BD$3,TRUE)-_xlfn.LOGNORM.DIST((DT$8-$B76),$BD$2,$BD$3,TRUE),_xlfn.LOGNORM.DIST((DT$8-$B76+1),$BD$2,$BD$3,TRUE))*$AW76</f>
        <v>25.780829275882812</v>
      </c>
      <c r="DU76">
        <f>IF((DU$8-$B76)&gt;0,_xlfn.LOGNORM.DIST((DU$8-$B76+1),$BD$2,$BD$3,TRUE)-_xlfn.LOGNORM.DIST((DU$8-$B76),$BD$2,$BD$3,TRUE),_xlfn.LOGNORM.DIST((DU$8-$B76+1),$BD$2,$BD$3,TRUE))*$AW76</f>
        <v>36.075324963247084</v>
      </c>
      <c r="DV76">
        <f>IF((DV$8-$B76)&gt;0,_xlfn.LOGNORM.DIST((DV$8-$B76+1),$BD$2,$BD$3,TRUE)-_xlfn.LOGNORM.DIST((DV$8-$B76),$BD$2,$BD$3,TRUE),_xlfn.LOGNORM.DIST((DV$8-$B76+1),$BD$2,$BD$3,TRUE))*$AW76</f>
        <v>38.384252272441493</v>
      </c>
      <c r="DW76" s="4">
        <f>IF((DW$8-$B76)&gt;0,_xlfn.LOGNORM.DIST((DW$8-$B76+1),$BD$2,$BD$3,TRUE)-_xlfn.LOGNORM.DIST((DW$8-$B76),$BD$2,$BD$3,TRUE),_xlfn.LOGNORM.DIST((DW$8-$B76+1),$BD$2,$BD$3,TRUE))*$AW76</f>
        <v>37.018411531916556</v>
      </c>
      <c r="DZ76" s="8">
        <f t="shared" si="156"/>
        <v>569.69096925361225</v>
      </c>
      <c r="EB76" s="3">
        <f t="shared" si="157"/>
        <v>4673.8691598874384</v>
      </c>
      <c r="EF76" s="3">
        <f t="shared" si="158"/>
        <v>29045.412761867105</v>
      </c>
      <c r="EG76">
        <f t="shared" si="159"/>
        <v>0.86</v>
      </c>
      <c r="EH76">
        <f t="shared" si="160"/>
        <v>24979.054975205709</v>
      </c>
      <c r="EI76" s="4">
        <f>SUM($EH$10:EH76)</f>
        <v>1937427.5199470385</v>
      </c>
      <c r="EJ76" s="4">
        <f t="shared" si="161"/>
        <v>1937.4275199470385</v>
      </c>
      <c r="EN76" s="3">
        <f t="shared" si="162"/>
        <v>412.80086199178481</v>
      </c>
      <c r="EO76">
        <v>7.3677936637345205</v>
      </c>
      <c r="EP76">
        <f t="shared" si="163"/>
        <v>420.16865565551933</v>
      </c>
      <c r="EQ76">
        <f>SUM($EP$10:EP76)</f>
        <v>28670.767195902779</v>
      </c>
      <c r="ER76">
        <f t="shared" si="164"/>
        <v>685231335.98207641</v>
      </c>
      <c r="ES76" s="4">
        <f t="shared" si="165"/>
        <v>407.67838334253639</v>
      </c>
    </row>
    <row r="77" spans="1:149" x14ac:dyDescent="0.25">
      <c r="A77" s="41"/>
      <c r="B77" s="39">
        <v>2057</v>
      </c>
      <c r="C77">
        <v>394078458</v>
      </c>
      <c r="D77" s="40">
        <f t="shared" si="139"/>
        <v>394.07845800000001</v>
      </c>
      <c r="E77" s="12">
        <f t="shared" si="102"/>
        <v>1087.65654408</v>
      </c>
      <c r="F77" s="5">
        <f t="shared" si="140"/>
        <v>500.32201027680003</v>
      </c>
      <c r="G77" s="13">
        <f t="shared" si="103"/>
        <v>402.43292130959998</v>
      </c>
      <c r="H77">
        <v>664</v>
      </c>
      <c r="I77" s="13">
        <f t="shared" si="104"/>
        <v>65.259392644800002</v>
      </c>
      <c r="J77">
        <v>88200</v>
      </c>
      <c r="K77" s="13">
        <v>0.46</v>
      </c>
      <c r="L77" s="14">
        <f t="shared" si="141"/>
        <v>-2524.7849669000216</v>
      </c>
      <c r="N77" s="7">
        <f t="shared" si="142"/>
        <v>764.23932323340114</v>
      </c>
      <c r="O77" s="5">
        <f t="shared" si="143"/>
        <v>685.22362277039997</v>
      </c>
      <c r="P77">
        <v>88200</v>
      </c>
      <c r="Q77" s="5">
        <v>0.46400000000000002</v>
      </c>
      <c r="R77" s="5">
        <f t="shared" si="144"/>
        <v>31276.341455462294</v>
      </c>
      <c r="S77" s="5">
        <f t="shared" si="145"/>
        <v>354.60704598029815</v>
      </c>
      <c r="T77" s="5">
        <f t="shared" si="146"/>
        <v>317.94376096546563</v>
      </c>
      <c r="U77" s="6">
        <f t="shared" si="147"/>
        <v>29419.114835951754</v>
      </c>
      <c r="W77" s="9">
        <f t="shared" si="148"/>
        <v>29419.114835951754</v>
      </c>
      <c r="AA77" s="19">
        <v>0.12</v>
      </c>
      <c r="AB77">
        <v>0.36</v>
      </c>
      <c r="AC77" s="6">
        <f t="shared" si="166"/>
        <v>1230.5324935878025</v>
      </c>
      <c r="AD77" s="5"/>
      <c r="AE77" s="5"/>
      <c r="AF77" s="5"/>
      <c r="AG77" s="5"/>
      <c r="AH77" s="13">
        <v>0.02</v>
      </c>
      <c r="AJ77" s="3">
        <v>1.7999999999999999E-2</v>
      </c>
      <c r="AK77">
        <f t="shared" si="149"/>
        <v>5.7229876973783806</v>
      </c>
      <c r="AL77" s="6">
        <f t="shared" si="150"/>
        <v>562.97414619832125</v>
      </c>
      <c r="AO77" s="5">
        <f t="shared" si="133"/>
        <v>18.578576685894916</v>
      </c>
      <c r="AP77" s="5">
        <f t="shared" si="151"/>
        <v>6035.4269614281648</v>
      </c>
      <c r="AQ77" s="5">
        <f t="shared" si="134"/>
        <v>842.98214168671927</v>
      </c>
      <c r="AR77" s="6">
        <f t="shared" si="135"/>
        <v>357619.27278738254</v>
      </c>
      <c r="AS77" s="5"/>
      <c r="AT77" s="5"/>
      <c r="AV77" s="3">
        <f t="shared" si="136"/>
        <v>28565.558626228612</v>
      </c>
      <c r="AW77" s="5">
        <f t="shared" si="137"/>
        <v>504.67263645312005</v>
      </c>
      <c r="AX77" s="5">
        <v>481.74343359090511</v>
      </c>
      <c r="AZ77">
        <f t="shared" si="152"/>
        <v>0</v>
      </c>
      <c r="BA77" s="5">
        <f t="shared" si="153"/>
        <v>10.574068036422144</v>
      </c>
      <c r="BB77" s="5">
        <f t="shared" si="154"/>
        <v>10.574068036422144</v>
      </c>
      <c r="DT77">
        <f>IF((DT$8-$B77)&gt;0,_xlfn.LOGNORM.DIST((DT$8-$B77+1),$BD$2,$BD$3,TRUE)-_xlfn.LOGNORM.DIST((DT$8-$B77),$BD$2,$BD$3,TRUE),_xlfn.LOGNORM.DIST((DT$8-$B77+1),$BD$2,$BD$3,TRUE))*$AW77</f>
        <v>6.1382198911279087</v>
      </c>
      <c r="DU77">
        <f>IF((DU$8-$B77)&gt;0,_xlfn.LOGNORM.DIST((DU$8-$B77+1),$BD$2,$BD$3,TRUE)-_xlfn.LOGNORM.DIST((DU$8-$B77),$BD$2,$BD$3,TRUE),_xlfn.LOGNORM.DIST((DU$8-$B77+1),$BD$2,$BD$3,TRUE))*$AW77</f>
        <v>25.877811033661093</v>
      </c>
      <c r="DV77">
        <f>IF((DV$8-$B77)&gt;0,_xlfn.LOGNORM.DIST((DV$8-$B77+1),$BD$2,$BD$3,TRUE)-_xlfn.LOGNORM.DIST((DV$8-$B77),$BD$2,$BD$3,TRUE),_xlfn.LOGNORM.DIST((DV$8-$B77+1),$BD$2,$BD$3,TRUE))*$AW77</f>
        <v>36.211032328976827</v>
      </c>
      <c r="DW77" s="4">
        <f>IF((DW$8-$B77)&gt;0,_xlfn.LOGNORM.DIST((DW$8-$B77+1),$BD$2,$BD$3,TRUE)-_xlfn.LOGNORM.DIST((DW$8-$B77),$BD$2,$BD$3,TRUE),_xlfn.LOGNORM.DIST((DW$8-$B77+1),$BD$2,$BD$3,TRUE))*$AW77</f>
        <v>38.528645310250745</v>
      </c>
      <c r="DZ77" s="8">
        <f t="shared" si="156"/>
        <v>571.31117252457227</v>
      </c>
      <c r="EB77" s="3">
        <f t="shared" si="157"/>
        <v>4691.4512183193438</v>
      </c>
      <c r="EF77" s="3">
        <f t="shared" si="158"/>
        <v>29128.532772426934</v>
      </c>
      <c r="EG77">
        <f t="shared" si="159"/>
        <v>0.86</v>
      </c>
      <c r="EH77">
        <f t="shared" si="160"/>
        <v>25050.538184287161</v>
      </c>
      <c r="EI77" s="4">
        <f>SUM($EH$10:EH77)</f>
        <v>1962478.0581313258</v>
      </c>
      <c r="EJ77" s="4">
        <f t="shared" si="161"/>
        <v>1962.4780581313257</v>
      </c>
      <c r="EN77" s="3">
        <f t="shared" si="162"/>
        <v>414.29935288817842</v>
      </c>
      <c r="EO77">
        <v>7.4079737574789979</v>
      </c>
      <c r="EP77">
        <f t="shared" si="163"/>
        <v>421.70732664565742</v>
      </c>
      <c r="EQ77">
        <f>SUM($EP$10:EP77)</f>
        <v>29092.474522548437</v>
      </c>
      <c r="ER77">
        <f t="shared" si="164"/>
        <v>695310141.0889076</v>
      </c>
      <c r="ES77" s="4">
        <f t="shared" si="165"/>
        <v>413.67476844084558</v>
      </c>
    </row>
    <row r="78" spans="1:149" x14ac:dyDescent="0.25">
      <c r="A78" s="41"/>
      <c r="B78" s="39">
        <v>2058</v>
      </c>
      <c r="C78">
        <v>395569873</v>
      </c>
      <c r="D78" s="40">
        <f t="shared" si="139"/>
        <v>395.56987299999997</v>
      </c>
      <c r="E78" s="12">
        <f t="shared" si="102"/>
        <v>1091.7728494799999</v>
      </c>
      <c r="F78" s="5">
        <f t="shared" si="140"/>
        <v>502.21551076079999</v>
      </c>
      <c r="G78" s="13">
        <f t="shared" si="103"/>
        <v>403.95595430759994</v>
      </c>
      <c r="H78">
        <v>664</v>
      </c>
      <c r="I78" s="13">
        <f t="shared" si="104"/>
        <v>65.506370968799985</v>
      </c>
      <c r="J78">
        <v>88200</v>
      </c>
      <c r="K78" s="13">
        <v>0.46</v>
      </c>
      <c r="L78" s="14">
        <f t="shared" si="141"/>
        <v>-2534.3401762624403</v>
      </c>
      <c r="N78" s="7">
        <f t="shared" si="142"/>
        <v>767.13163558166991</v>
      </c>
      <c r="O78" s="5">
        <f t="shared" si="143"/>
        <v>687.81689517239988</v>
      </c>
      <c r="P78">
        <v>88200</v>
      </c>
      <c r="Q78" s="5">
        <v>0.46400000000000002</v>
      </c>
      <c r="R78" s="5">
        <f t="shared" si="144"/>
        <v>31394.708759852725</v>
      </c>
      <c r="S78" s="5">
        <f t="shared" si="145"/>
        <v>355.94907890989487</v>
      </c>
      <c r="T78" s="5">
        <f t="shared" si="146"/>
        <v>319.14703935999358</v>
      </c>
      <c r="U78" s="6">
        <f t="shared" si="147"/>
        <v>29529.29595856601</v>
      </c>
      <c r="W78" s="9">
        <f t="shared" si="148"/>
        <v>29529.29595856601</v>
      </c>
      <c r="AA78" s="19">
        <v>0.12</v>
      </c>
      <c r="AB78">
        <v>0.36</v>
      </c>
      <c r="AC78" s="6">
        <f t="shared" si="166"/>
        <v>1234.0321326530759</v>
      </c>
      <c r="AD78" s="5"/>
      <c r="AE78" s="5"/>
      <c r="AF78" s="5"/>
      <c r="AG78" s="5"/>
      <c r="AH78" s="13">
        <v>0.02</v>
      </c>
      <c r="AJ78" s="3">
        <v>1.7999999999999999E-2</v>
      </c>
      <c r="AK78">
        <f t="shared" si="149"/>
        <v>5.744646708479884</v>
      </c>
      <c r="AL78" s="6">
        <f t="shared" si="150"/>
        <v>565.10475767734908</v>
      </c>
      <c r="AO78" s="5">
        <f t="shared" si="133"/>
        <v>18.718971793348032</v>
      </c>
      <c r="AP78" s="5">
        <f t="shared" si="151"/>
        <v>6054.1459332215127</v>
      </c>
      <c r="AQ78" s="5">
        <f t="shared" si="134"/>
        <v>869.89891553949758</v>
      </c>
      <c r="AR78" s="6">
        <f t="shared" si="135"/>
        <v>358489.17170292203</v>
      </c>
      <c r="AS78" s="5"/>
      <c r="AT78" s="5"/>
      <c r="AV78" s="3">
        <f t="shared" si="136"/>
        <v>28648.790179351508</v>
      </c>
      <c r="AW78" s="5">
        <f t="shared" si="137"/>
        <v>506.58260215871996</v>
      </c>
      <c r="AX78" s="5">
        <v>483.49653896745195</v>
      </c>
      <c r="AZ78">
        <f t="shared" si="152"/>
        <v>0</v>
      </c>
      <c r="BA78" s="5">
        <f t="shared" si="153"/>
        <v>10.606863675004089</v>
      </c>
      <c r="BB78" s="5">
        <f t="shared" si="154"/>
        <v>10.606863675004089</v>
      </c>
      <c r="DU78">
        <f>IF((DU$8-$B78)&gt;0,_xlfn.LOGNORM.DIST((DU$8-$B78+1),$BD$2,$BD$3,TRUE)-_xlfn.LOGNORM.DIST((DU$8-$B78),$BD$2,$BD$3,TRUE),_xlfn.LOGNORM.DIST((DU$8-$B78+1),$BD$2,$BD$3,TRUE))*$AW78</f>
        <v>6.1614503748883935</v>
      </c>
      <c r="DV78">
        <f>IF((DV$8-$B78)&gt;0,_xlfn.LOGNORM.DIST((DV$8-$B78+1),$BD$2,$BD$3,TRUE)-_xlfn.LOGNORM.DIST((DV$8-$B78),$BD$2,$BD$3,TRUE),_xlfn.LOGNORM.DIST((DV$8-$B78+1),$BD$2,$BD$3,TRUE))*$AW78</f>
        <v>25.975747256155056</v>
      </c>
      <c r="DW78" s="4">
        <f>IF((DW$8-$B78)&gt;0,_xlfn.LOGNORM.DIST((DW$8-$B78+1),$BD$2,$BD$3,TRUE)-_xlfn.LOGNORM.DIST((DW$8-$B78),$BD$2,$BD$3,TRUE),_xlfn.LOGNORM.DIST((DW$8-$B78+1),$BD$2,$BD$3,TRUE))*$AW78</f>
        <v>36.348075284978549</v>
      </c>
      <c r="DZ78" s="8">
        <f t="shared" si="156"/>
        <v>572.97580358703021</v>
      </c>
      <c r="EB78" s="3">
        <f t="shared" si="157"/>
        <v>4709.2063139779084</v>
      </c>
      <c r="EF78" s="3">
        <f t="shared" si="158"/>
        <v>29213.894937028857</v>
      </c>
      <c r="EG78">
        <f t="shared" si="159"/>
        <v>0.86</v>
      </c>
      <c r="EH78">
        <f t="shared" si="160"/>
        <v>25123.949645844816</v>
      </c>
      <c r="EI78" s="4">
        <f>SUM($EH$10:EH78)</f>
        <v>1987602.0077771705</v>
      </c>
      <c r="EJ78" s="4">
        <f t="shared" si="161"/>
        <v>1987.6020077771705</v>
      </c>
      <c r="EN78" s="3">
        <f t="shared" si="162"/>
        <v>415.8070235120087</v>
      </c>
      <c r="EO78">
        <v>7.4493151678788907</v>
      </c>
      <c r="EP78">
        <f t="shared" si="163"/>
        <v>423.25633867988756</v>
      </c>
      <c r="EQ78">
        <f>SUM($EP$10:EP78)</f>
        <v>29515.730861228323</v>
      </c>
      <c r="ER78">
        <f t="shared" si="164"/>
        <v>705425967.58335686</v>
      </c>
      <c r="ES78" s="4">
        <f t="shared" si="165"/>
        <v>419.69317941371816</v>
      </c>
    </row>
    <row r="79" spans="1:149" x14ac:dyDescent="0.25">
      <c r="A79" s="41"/>
      <c r="B79" s="39">
        <v>2059</v>
      </c>
      <c r="C79">
        <v>397077422</v>
      </c>
      <c r="D79" s="40">
        <f t="shared" si="139"/>
        <v>397.07742200000001</v>
      </c>
      <c r="E79" s="12">
        <f t="shared" si="102"/>
        <v>1095.93368472</v>
      </c>
      <c r="F79" s="5">
        <f t="shared" si="140"/>
        <v>504.12949497120002</v>
      </c>
      <c r="G79" s="13">
        <f t="shared" si="103"/>
        <v>405.49546334639996</v>
      </c>
      <c r="H79">
        <v>664</v>
      </c>
      <c r="I79" s="13">
        <f t="shared" si="104"/>
        <v>65.756021083199997</v>
      </c>
      <c r="J79">
        <v>88200</v>
      </c>
      <c r="K79" s="13">
        <v>0.46</v>
      </c>
      <c r="L79" s="14">
        <f t="shared" si="141"/>
        <v>-2543.998753063066</v>
      </c>
      <c r="N79" s="7">
        <f t="shared" si="142"/>
        <v>770.05523671771903</v>
      </c>
      <c r="O79" s="5">
        <f t="shared" si="143"/>
        <v>690.43822137360007</v>
      </c>
      <c r="P79">
        <v>88200</v>
      </c>
      <c r="Q79" s="5">
        <v>0.46400000000000002</v>
      </c>
      <c r="R79" s="5">
        <f t="shared" si="144"/>
        <v>31514.356551625307</v>
      </c>
      <c r="S79" s="5">
        <f t="shared" si="145"/>
        <v>357.30562983702163</v>
      </c>
      <c r="T79" s="5">
        <f t="shared" si="146"/>
        <v>320.36333471735043</v>
      </c>
      <c r="U79" s="6">
        <f t="shared" si="147"/>
        <v>29640.727116380967</v>
      </c>
      <c r="W79" s="9">
        <f t="shared" si="148"/>
        <v>29640.727116380967</v>
      </c>
      <c r="AA79" s="19">
        <v>0.12</v>
      </c>
      <c r="AB79">
        <v>0.36</v>
      </c>
      <c r="AC79" s="6">
        <f t="shared" si="166"/>
        <v>1237.6277357479851</v>
      </c>
      <c r="AD79" s="5"/>
      <c r="AE79" s="5"/>
      <c r="AF79" s="5"/>
      <c r="AG79" s="5"/>
      <c r="AH79" s="13">
        <v>0.02</v>
      </c>
      <c r="AJ79" s="3">
        <v>1.7999999999999999E-2</v>
      </c>
      <c r="AK79">
        <f t="shared" si="149"/>
        <v>5.7665400249123069</v>
      </c>
      <c r="AL79" s="6">
        <f t="shared" si="150"/>
        <v>567.25841792925553</v>
      </c>
      <c r="AO79" s="5">
        <f t="shared" si="133"/>
        <v>18.868282422540631</v>
      </c>
      <c r="AP79" s="5">
        <f t="shared" si="151"/>
        <v>6073.0142156440534</v>
      </c>
      <c r="AQ79" s="5">
        <f t="shared" si="134"/>
        <v>895.91196003332038</v>
      </c>
      <c r="AR79" s="6">
        <f t="shared" si="135"/>
        <v>359385.08366295532</v>
      </c>
      <c r="AS79" s="5"/>
      <c r="AT79" s="5"/>
      <c r="AV79" s="3">
        <f t="shared" si="136"/>
        <v>28734.175235441839</v>
      </c>
      <c r="AW79" s="5">
        <f t="shared" si="137"/>
        <v>508.51322971008</v>
      </c>
      <c r="AX79" s="5">
        <v>485.26121254865939</v>
      </c>
      <c r="AZ79">
        <f t="shared" si="152"/>
        <v>0</v>
      </c>
      <c r="BA79" s="5">
        <f t="shared" si="153"/>
        <v>10.639920905808381</v>
      </c>
      <c r="BB79" s="5">
        <f t="shared" si="154"/>
        <v>10.639920905808381</v>
      </c>
      <c r="DV79">
        <f>IF((DV$8-$B79)&gt;0,_xlfn.LOGNORM.DIST((DV$8-$B79+1),$BD$2,$BD$3,TRUE)-_xlfn.LOGNORM.DIST((DV$8-$B79),$BD$2,$BD$3,TRUE),_xlfn.LOGNORM.DIST((DV$8-$B79+1),$BD$2,$BD$3,TRUE))*$AW79</f>
        <v>6.1849321640367112</v>
      </c>
      <c r="DW79" s="4">
        <f>IF((DW$8-$B79)&gt;0,_xlfn.LOGNORM.DIST((DW$8-$B79+1),$BD$2,$BD$3,TRUE)-_xlfn.LOGNORM.DIST((DW$8-$B79),$BD$2,$BD$3,TRUE),_xlfn.LOGNORM.DIST((DW$8-$B79+1),$BD$2,$BD$3,TRUE))*$AW79</f>
        <v>26.074742944333437</v>
      </c>
      <c r="DZ79" s="8">
        <f t="shared" si="156"/>
        <v>574.68350470883684</v>
      </c>
      <c r="EB79" s="3">
        <f t="shared" si="157"/>
        <v>4727.1534827437963</v>
      </c>
      <c r="EF79" s="3">
        <f t="shared" si="158"/>
        <v>29301.433653371096</v>
      </c>
      <c r="EG79">
        <f t="shared" si="159"/>
        <v>0.86</v>
      </c>
      <c r="EH79">
        <f t="shared" si="160"/>
        <v>25199.232941899143</v>
      </c>
      <c r="EI79" s="4">
        <f>SUM($EH$10:EH79)</f>
        <v>2012801.2407190697</v>
      </c>
      <c r="EJ79" s="4">
        <f t="shared" si="161"/>
        <v>2012.8012407190697</v>
      </c>
      <c r="EN79" s="3">
        <f t="shared" si="162"/>
        <v>417.32464279184705</v>
      </c>
      <c r="EO79">
        <v>7.4917963971113508</v>
      </c>
      <c r="EP79">
        <f t="shared" si="163"/>
        <v>424.81643918895838</v>
      </c>
      <c r="EQ79">
        <f>SUM($EP$10:EP79)</f>
        <v>29940.547300417282</v>
      </c>
      <c r="ER79">
        <f t="shared" si="164"/>
        <v>715579080.47997296</v>
      </c>
      <c r="ES79" s="4">
        <f t="shared" si="165"/>
        <v>425.73377393155994</v>
      </c>
    </row>
    <row r="80" spans="1:149" x14ac:dyDescent="0.25">
      <c r="A80" s="41"/>
      <c r="B80" s="39">
        <v>2060</v>
      </c>
      <c r="C80">
        <v>398602527</v>
      </c>
      <c r="D80" s="40">
        <f t="shared" si="139"/>
        <v>398.60252700000001</v>
      </c>
      <c r="E80" s="12">
        <f t="shared" si="102"/>
        <v>1100.1429745200001</v>
      </c>
      <c r="F80" s="5">
        <f t="shared" si="140"/>
        <v>506.06576827920003</v>
      </c>
      <c r="G80" s="13">
        <f t="shared" si="103"/>
        <v>407.05290057240001</v>
      </c>
      <c r="H80">
        <v>664</v>
      </c>
      <c r="I80" s="13">
        <f t="shared" si="104"/>
        <v>66.008578471199996</v>
      </c>
      <c r="J80">
        <v>88200</v>
      </c>
      <c r="K80" s="13">
        <v>0.46</v>
      </c>
      <c r="L80" s="14">
        <f t="shared" si="141"/>
        <v>-2553.7698077826922</v>
      </c>
      <c r="N80" s="7">
        <f t="shared" si="142"/>
        <v>773.01288433686375</v>
      </c>
      <c r="O80" s="5">
        <f t="shared" si="143"/>
        <v>693.0900739476001</v>
      </c>
      <c r="P80">
        <v>88200</v>
      </c>
      <c r="Q80" s="5">
        <v>0.46400000000000002</v>
      </c>
      <c r="R80" s="5">
        <f t="shared" si="144"/>
        <v>31635.397688909281</v>
      </c>
      <c r="S80" s="5">
        <f t="shared" si="145"/>
        <v>358.6779783323048</v>
      </c>
      <c r="T80" s="5">
        <f t="shared" si="146"/>
        <v>321.59379431168645</v>
      </c>
      <c r="U80" s="6">
        <f t="shared" si="147"/>
        <v>29753.507092897307</v>
      </c>
      <c r="W80" s="9">
        <f t="shared" si="148"/>
        <v>29753.507092897307</v>
      </c>
      <c r="AA80" s="19">
        <v>0.12</v>
      </c>
      <c r="AB80">
        <v>0.36</v>
      </c>
      <c r="AC80" s="6">
        <f t="shared" si="166"/>
        <v>1241.3163701710873</v>
      </c>
      <c r="AD80" s="5"/>
      <c r="AE80" s="5"/>
      <c r="AF80" s="5"/>
      <c r="AG80" s="5"/>
      <c r="AH80" s="13">
        <v>0.02</v>
      </c>
      <c r="AJ80" s="3">
        <v>1.7999999999999999E-2</v>
      </c>
      <c r="AK80">
        <f t="shared" si="149"/>
        <v>5.7886882976103555</v>
      </c>
      <c r="AL80" s="6">
        <f t="shared" si="150"/>
        <v>569.43715840036703</v>
      </c>
      <c r="AO80" s="5">
        <f t="shared" si="133"/>
        <v>19.02736241052969</v>
      </c>
      <c r="AP80" s="5">
        <f t="shared" si="151"/>
        <v>6092.0415780545827</v>
      </c>
      <c r="AQ80" s="5">
        <f t="shared" si="134"/>
        <v>921.17592040056456</v>
      </c>
      <c r="AR80" s="6">
        <f t="shared" si="135"/>
        <v>360306.25958335586</v>
      </c>
      <c r="AS80" s="5"/>
      <c r="AT80" s="5"/>
      <c r="AV80" s="3">
        <f t="shared" si="136"/>
        <v>28821.657915651991</v>
      </c>
      <c r="AW80" s="5">
        <f t="shared" si="137"/>
        <v>510.46634017728007</v>
      </c>
      <c r="AX80" s="5">
        <v>487.03840586867034</v>
      </c>
      <c r="AZ80">
        <f t="shared" si="152"/>
        <v>0</v>
      </c>
      <c r="BA80" s="5">
        <f t="shared" si="153"/>
        <v>10.673256844751629</v>
      </c>
      <c r="BB80" s="5">
        <f t="shared" si="154"/>
        <v>10.673256844751629</v>
      </c>
      <c r="DW80" s="4">
        <f>IF((DW$8-$B80)&gt;0,_xlfn.LOGNORM.DIST((DW$8-$B80+1),$BD$2,$BD$3,TRUE)-_xlfn.LOGNORM.DIST((DW$8-$B80),$BD$2,$BD$3,TRUE),_xlfn.LOGNORM.DIST((DW$8-$B80+1),$BD$2,$BD$3,TRUE))*$AW80</f>
        <v>6.2086874078390997</v>
      </c>
      <c r="DZ80" s="8">
        <f t="shared" si="156"/>
        <v>576.43315831303983</v>
      </c>
      <c r="EB80" s="3">
        <f t="shared" si="157"/>
        <v>4745.3096533363923</v>
      </c>
      <c r="EF80" s="3">
        <f t="shared" si="158"/>
        <v>29391.095074052359</v>
      </c>
      <c r="EG80">
        <f t="shared" si="159"/>
        <v>0.86</v>
      </c>
      <c r="EH80">
        <f t="shared" si="160"/>
        <v>25276.341763685028</v>
      </c>
      <c r="EI80" s="4">
        <f>SUM($EH$10:EH80)</f>
        <v>2038077.5824827547</v>
      </c>
      <c r="EJ80" s="4">
        <f t="shared" si="161"/>
        <v>2038.0775824827547</v>
      </c>
      <c r="EN80" s="3">
        <f t="shared" si="162"/>
        <v>418.85302904705651</v>
      </c>
      <c r="EO80">
        <v>7.5354010057926333</v>
      </c>
      <c r="EP80">
        <f t="shared" si="163"/>
        <v>426.38843005284912</v>
      </c>
      <c r="EQ80">
        <f>SUM($EP$10:EP80)</f>
        <v>30366.93573047013</v>
      </c>
      <c r="ER80">
        <f t="shared" si="164"/>
        <v>725769763.9582361</v>
      </c>
      <c r="ES80" s="4">
        <f t="shared" si="165"/>
        <v>431.79672106695261</v>
      </c>
    </row>
    <row r="81" spans="1:127" ht="18" x14ac:dyDescent="0.35">
      <c r="D81" s="23"/>
      <c r="BD81" t="s">
        <v>50</v>
      </c>
      <c r="BE81">
        <f>SUM(BE10:BE80)</f>
        <v>6.0581974828477385</v>
      </c>
      <c r="BF81">
        <f>SUM(BF10:BF80)</f>
        <v>31.670818508901583</v>
      </c>
      <c r="BG81">
        <f t="shared" ref="BG81:BH81" si="167">SUM(BG10:BG80)</f>
        <v>67.786959990148588</v>
      </c>
      <c r="BH81">
        <f t="shared" si="167"/>
        <v>106.6151519840509</v>
      </c>
      <c r="BI81">
        <f t="shared" ref="BI81" si="168">SUM(BI10:BI80)</f>
        <v>144.52406137897989</v>
      </c>
      <c r="BJ81">
        <f t="shared" ref="BJ81" si="169">SUM(BJ10:BJ80)</f>
        <v>180.02744471797158</v>
      </c>
      <c r="BK81">
        <f t="shared" ref="BK81" si="170">SUM(BK10:BK80)</f>
        <v>212.64839731342903</v>
      </c>
      <c r="BL81">
        <f t="shared" ref="BL81" si="171">SUM(BL10:BL80)</f>
        <v>242.37513231302077</v>
      </c>
      <c r="BM81">
        <f t="shared" ref="BM81" si="172">SUM(BM10:BM80)</f>
        <v>269.39884661130719</v>
      </c>
      <c r="BN81">
        <f t="shared" ref="BN81" si="173">SUM(BN10:BN80)</f>
        <v>293.97349220300453</v>
      </c>
      <c r="BO81">
        <f t="shared" ref="BO81" si="174">SUM(BO10:BO80)</f>
        <v>316.34448872950333</v>
      </c>
      <c r="BP81">
        <f t="shared" ref="BP81" si="175">SUM(BP10:BP80)</f>
        <v>336.93571285727398</v>
      </c>
      <c r="BQ81">
        <f t="shared" ref="BQ81" si="176">SUM(BQ10:BQ80)</f>
        <v>357.28055271106126</v>
      </c>
      <c r="BR81">
        <f t="shared" ref="BR81" si="177">SUM(BR10:BR80)</f>
        <v>378.84665874607299</v>
      </c>
      <c r="BS81">
        <f t="shared" ref="BS81" si="178">SUM(BS10:BS80)</f>
        <v>400.61597522062885</v>
      </c>
      <c r="BT81">
        <f t="shared" ref="BT81" si="179">SUM(BT10:BT80)</f>
        <v>422.83768946112014</v>
      </c>
      <c r="BU81">
        <f t="shared" ref="BU81" si="180">SUM(BU10:BU80)</f>
        <v>444.339947087035</v>
      </c>
      <c r="BV81">
        <f t="shared" ref="BV81" si="181">SUM(BV10:BV80)</f>
        <v>462.64554440162425</v>
      </c>
      <c r="BW81">
        <f t="shared" ref="BW81" si="182">SUM(BW10:BW80)</f>
        <v>476.82865335074189</v>
      </c>
      <c r="BX81">
        <f t="shared" ref="BX81" si="183">SUM(BX10:BX80)</f>
        <v>485.79397356274313</v>
      </c>
      <c r="BY81">
        <f t="shared" ref="BY81" si="184">SUM(BY10:BY80)</f>
        <v>488.1277296779254</v>
      </c>
      <c r="BZ81">
        <f t="shared" ref="BZ81" si="185">SUM(BZ10:BZ80)</f>
        <v>486.2012169597844</v>
      </c>
      <c r="CA81">
        <f t="shared" ref="CA81" si="186">SUM(CA10:CA80)</f>
        <v>481.99843576791653</v>
      </c>
      <c r="CB81">
        <f t="shared" ref="CB81" si="187">SUM(CB10:CB80)</f>
        <v>475.2396599426886</v>
      </c>
      <c r="CC81">
        <f t="shared" ref="CC81" si="188">SUM(CC10:CC80)</f>
        <v>467.42901345908751</v>
      </c>
      <c r="CD81">
        <f t="shared" ref="CD81" si="189">SUM(CD10:CD80)</f>
        <v>459.67336979890547</v>
      </c>
      <c r="CE81">
        <f t="shared" ref="CE81" si="190">SUM(CE10:CE80)</f>
        <v>452.49079405841019</v>
      </c>
      <c r="CF81">
        <f t="shared" ref="CF81" si="191">SUM(CF10:CF80)</f>
        <v>446.29872469798045</v>
      </c>
      <c r="CG81">
        <f t="shared" ref="CG81" si="192">SUM(CG10:CG80)</f>
        <v>441.37877108416632</v>
      </c>
      <c r="CH81">
        <f t="shared" ref="CH81" si="193">SUM(CH10:CH80)</f>
        <v>436.66579016442893</v>
      </c>
      <c r="CI81">
        <f t="shared" ref="CI81" si="194">SUM(CI10:CI80)</f>
        <v>431.87448133858811</v>
      </c>
      <c r="CJ81">
        <f t="shared" ref="CJ81" si="195">SUM(CJ10:CJ80)</f>
        <v>429.80031247386393</v>
      </c>
      <c r="CK81">
        <f t="shared" ref="CK81" si="196">SUM(CK10:CK80)</f>
        <v>431.33052859095943</v>
      </c>
      <c r="CL81">
        <f t="shared" ref="CL81" si="197">SUM(CL10:CL80)</f>
        <v>432.6819805791713</v>
      </c>
      <c r="CM81">
        <f t="shared" ref="CM81" si="198">SUM(CM10:CM80)</f>
        <v>432.10466940352165</v>
      </c>
      <c r="CN81">
        <f t="shared" ref="CN81" si="199">SUM(CN10:CN80)</f>
        <v>430.09943581207267</v>
      </c>
      <c r="CO81">
        <f t="shared" ref="CO81" si="200">SUM(CO10:CO80)</f>
        <v>427.63998776065665</v>
      </c>
      <c r="CP81">
        <f t="shared" ref="CP81" si="201">SUM(CP10:CP80)</f>
        <v>426.58631565461076</v>
      </c>
      <c r="CQ81">
        <f t="shared" ref="CQ81" si="202">SUM(CQ10:CQ80)</f>
        <v>426.63563751188934</v>
      </c>
      <c r="CR81">
        <f t="shared" ref="CR81" si="203">SUM(CR10:CR80)</f>
        <v>427.32208060874711</v>
      </c>
      <c r="CS81">
        <f t="shared" ref="CS81" si="204">SUM(CS10:CS80)</f>
        <v>428.39255923332718</v>
      </c>
      <c r="CT81">
        <f t="shared" ref="CT81" si="205">SUM(CT10:CT80)</f>
        <v>429.71288420483347</v>
      </c>
      <c r="CU81">
        <f t="shared" ref="CU81" si="206">SUM(CU10:CU80)</f>
        <v>431.20710784811752</v>
      </c>
      <c r="CV81">
        <f t="shared" ref="CV81" si="207">SUM(CV10:CV80)</f>
        <v>432.8285067136232</v>
      </c>
      <c r="CW81">
        <f t="shared" ref="CW81" si="208">SUM(CW10:CW80)</f>
        <v>434.54585449320263</v>
      </c>
      <c r="CX81">
        <f t="shared" ref="CX81" si="209">SUM(CX10:CX80)</f>
        <v>436.33669407893905</v>
      </c>
      <c r="CY81">
        <f t="shared" ref="CY81" si="210">SUM(CY10:CY80)</f>
        <v>438.18389772048317</v>
      </c>
      <c r="CZ81">
        <f t="shared" ref="CZ81" si="211">SUM(CZ10:CZ80)</f>
        <v>440.0738328249999</v>
      </c>
      <c r="DA81">
        <f t="shared" ref="DA81" si="212">SUM(DA10:DA80)</f>
        <v>441.99537631704368</v>
      </c>
      <c r="DB81">
        <f t="shared" ref="DB81" si="213">SUM(DB10:DB80)</f>
        <v>443.93933672542386</v>
      </c>
      <c r="DC81">
        <f t="shared" ref="DC81" si="214">SUM(DC10:DC80)</f>
        <v>445.89807221999661</v>
      </c>
      <c r="DD81">
        <f t="shared" ref="DD81" si="215">SUM(DD10:DD80)</f>
        <v>447.86521271829099</v>
      </c>
      <c r="DE81">
        <f t="shared" ref="DE81" si="216">SUM(DE10:DE80)</f>
        <v>449.83549722077777</v>
      </c>
      <c r="DF81">
        <f t="shared" ref="DF81" si="217">SUM(DF10:DF80)</f>
        <v>451.80469375891136</v>
      </c>
      <c r="DG81">
        <f t="shared" ref="DG81" si="218">SUM(DG10:DG80)</f>
        <v>453.76952758262843</v>
      </c>
      <c r="DH81">
        <f t="shared" ref="DH81" si="219">SUM(DH10:DH80)</f>
        <v>455.72759163372569</v>
      </c>
      <c r="DI81">
        <f t="shared" ref="DI81" si="220">SUM(DI10:DI80)</f>
        <v>457.67725763596707</v>
      </c>
      <c r="DJ81">
        <f t="shared" ref="DJ81" si="221">SUM(DJ10:DJ80)</f>
        <v>459.61758942836212</v>
      </c>
      <c r="DK81">
        <f t="shared" ref="DK81" si="222">SUM(DK10:DK80)</f>
        <v>461.54826058951573</v>
      </c>
      <c r="DL81">
        <f t="shared" ref="DL81" si="223">SUM(DL10:DL80)</f>
        <v>463.4694838748544</v>
      </c>
      <c r="DM81">
        <f t="shared" ref="DM81" si="224">SUM(DM10:DM80)</f>
        <v>465.38194937917308</v>
      </c>
      <c r="DN81">
        <f t="shared" ref="DN81" si="225">SUM(DN10:DN80)</f>
        <v>467.28676043172032</v>
      </c>
      <c r="DO81">
        <f t="shared" ref="DO81" si="226">SUM(DO10:DO80)</f>
        <v>469.18533081657608</v>
      </c>
      <c r="DP81">
        <f t="shared" ref="DP81" si="227">SUM(DP10:DP80)</f>
        <v>471.07921133937595</v>
      </c>
      <c r="DQ81">
        <f t="shared" ref="DQ81" si="228">SUM(DQ10:DQ80)</f>
        <v>472.9699657320113</v>
      </c>
      <c r="DR81">
        <f t="shared" ref="DR81" si="229">SUM(DR10:DR80)</f>
        <v>474.85911635646039</v>
      </c>
      <c r="DS81">
        <f t="shared" ref="DS81" si="230">SUM(DS10:DS80)</f>
        <v>476.74812808604054</v>
      </c>
      <c r="DT81">
        <f t="shared" ref="DT81" si="231">SUM(DT10:DT80)</f>
        <v>478.63841636363321</v>
      </c>
      <c r="DU81">
        <f t="shared" ref="DU81" si="232">SUM(DU10:DU80)</f>
        <v>480.53137593761232</v>
      </c>
      <c r="DV81">
        <f t="shared" ref="DV81" si="233">SUM(DV10:DV80)</f>
        <v>482.42840496766655</v>
      </c>
      <c r="DW81" s="4">
        <f t="shared" ref="DW81" si="234">SUM(DW10:DW80)</f>
        <v>484.33092278284482</v>
      </c>
    </row>
    <row r="82" spans="1:127" ht="30" x14ac:dyDescent="0.25">
      <c r="D82" s="23"/>
      <c r="BD82" s="17" t="s">
        <v>51</v>
      </c>
      <c r="BE82">
        <f t="shared" ref="BE82:CJ82" si="235">(_xlfn.LOGNORM.DIST(($BF$6+BE8-$BE8+1),$BD$2,$BD$3,TRUE)-_xlfn.LOGNORM.DIST(($BF$6+BE8-$BE8),$BD$2,$BD$3,TRUE))/(1-_xlfn.LOGNORM.DIST($BF$6,$BD$2,$BD$3,TRUE))*$AP$9</f>
        <v>453.55003281198577</v>
      </c>
      <c r="BF82">
        <f t="shared" si="235"/>
        <v>415.70187367162674</v>
      </c>
      <c r="BG82">
        <f t="shared" si="235"/>
        <v>374.69358771011008</v>
      </c>
      <c r="BH82">
        <f t="shared" si="235"/>
        <v>334.99602605642184</v>
      </c>
      <c r="BI82">
        <f t="shared" si="235"/>
        <v>298.43224233489906</v>
      </c>
      <c r="BJ82">
        <f t="shared" si="235"/>
        <v>265.58056619677853</v>
      </c>
      <c r="BK82">
        <f t="shared" si="235"/>
        <v>236.44339912016375</v>
      </c>
      <c r="BL82">
        <f t="shared" si="235"/>
        <v>210.77115117044551</v>
      </c>
      <c r="BM82">
        <f t="shared" si="235"/>
        <v>188.22006982590747</v>
      </c>
      <c r="BN82">
        <f t="shared" si="235"/>
        <v>168.42827330725123</v>
      </c>
      <c r="BO82">
        <f t="shared" si="235"/>
        <v>151.05089609035659</v>
      </c>
      <c r="BP82">
        <f t="shared" si="235"/>
        <v>135.77469003242823</v>
      </c>
      <c r="BQ82">
        <f t="shared" si="235"/>
        <v>122.3223940515998</v>
      </c>
      <c r="BR82">
        <f t="shared" si="235"/>
        <v>110.45216619581905</v>
      </c>
      <c r="BS82">
        <f t="shared" si="235"/>
        <v>99.954806904014774</v>
      </c>
      <c r="BT82">
        <f t="shared" si="235"/>
        <v>90.650170139184098</v>
      </c>
      <c r="BU82">
        <f t="shared" si="235"/>
        <v>82.383460033804681</v>
      </c>
      <c r="BV82">
        <f t="shared" si="235"/>
        <v>75.021742583767804</v>
      </c>
      <c r="BW82">
        <f t="shared" si="235"/>
        <v>68.450809177301167</v>
      </c>
      <c r="BX82">
        <f t="shared" si="235"/>
        <v>62.572429729676507</v>
      </c>
      <c r="BY82">
        <f t="shared" si="235"/>
        <v>57.301984436192654</v>
      </c>
      <c r="BZ82">
        <f t="shared" si="235"/>
        <v>52.566441224745688</v>
      </c>
      <c r="CA82">
        <f t="shared" si="235"/>
        <v>48.302638162938102</v>
      </c>
      <c r="CB82">
        <f t="shared" si="235"/>
        <v>44.455829425614191</v>
      </c>
      <c r="CC82">
        <f t="shared" si="235"/>
        <v>40.978456197751022</v>
      </c>
      <c r="CD82">
        <f t="shared" si="235"/>
        <v>37.829108059519918</v>
      </c>
      <c r="CE82">
        <f t="shared" si="235"/>
        <v>34.971644921951203</v>
      </c>
      <c r="CF82">
        <f t="shared" si="235"/>
        <v>32.374453929595532</v>
      </c>
      <c r="CG82">
        <f t="shared" si="235"/>
        <v>30.009819686142137</v>
      </c>
      <c r="CH82">
        <f t="shared" si="235"/>
        <v>27.853389609580784</v>
      </c>
      <c r="CI82">
        <f t="shared" si="235"/>
        <v>25.883719183916366</v>
      </c>
      <c r="CJ82">
        <f t="shared" si="235"/>
        <v>24.08188438105508</v>
      </c>
      <c r="CK82">
        <f t="shared" ref="CK82:DP82" si="236">(_xlfn.LOGNORM.DIST(($BF$6+CK8-$BE8+1),$BD$2,$BD$3,TRUE)-_xlfn.LOGNORM.DIST(($BF$6+CK8-$BE8),$BD$2,$BD$3,TRUE))/(1-_xlfn.LOGNORM.DIST($BF$6,$BD$2,$BD$3,TRUE))*$AP$9</f>
        <v>22.431150630966062</v>
      </c>
      <c r="CL82">
        <f t="shared" si="236"/>
        <v>20.916689475733826</v>
      </c>
      <c r="CM82">
        <f t="shared" si="236"/>
        <v>19.525335505829631</v>
      </c>
      <c r="CN82">
        <f t="shared" si="236"/>
        <v>18.245377392305976</v>
      </c>
      <c r="CO82">
        <f t="shared" si="236"/>
        <v>17.066377837542422</v>
      </c>
      <c r="CP82">
        <f t="shared" si="236"/>
        <v>15.97901810476885</v>
      </c>
      <c r="CQ82">
        <f t="shared" si="236"/>
        <v>14.974963482345354</v>
      </c>
      <c r="CR82">
        <f t="shared" si="236"/>
        <v>14.046746617229083</v>
      </c>
      <c r="CS82">
        <f t="shared" si="236"/>
        <v>13.187666133671518</v>
      </c>
      <c r="CT82">
        <f t="shared" si="236"/>
        <v>12.391698354646037</v>
      </c>
      <c r="CU82">
        <f t="shared" si="236"/>
        <v>11.653420278925527</v>
      </c>
      <c r="CV82">
        <f t="shared" si="236"/>
        <v>10.967942247199518</v>
      </c>
      <c r="CW82">
        <f t="shared" si="236"/>
        <v>10.330848965868777</v>
      </c>
      <c r="CX82">
        <f t="shared" si="236"/>
        <v>9.7381477546356532</v>
      </c>
      <c r="CY82">
        <f t="shared" si="236"/>
        <v>9.1862230502469178</v>
      </c>
      <c r="CZ82">
        <f t="shared" si="236"/>
        <v>8.6717963389085675</v>
      </c>
      <c r="DA82">
        <f t="shared" si="236"/>
        <v>8.1918908083400215</v>
      </c>
      <c r="DB82">
        <f t="shared" si="236"/>
        <v>7.7438001106729395</v>
      </c>
      <c r="DC82">
        <f t="shared" si="236"/>
        <v>7.3250607125236167</v>
      </c>
      <c r="DD82">
        <f t="shared" si="236"/>
        <v>6.9334273808117191</v>
      </c>
      <c r="DE82">
        <f t="shared" si="236"/>
        <v>6.5668514145682968</v>
      </c>
      <c r="DF82">
        <f t="shared" si="236"/>
        <v>6.2234612854602132</v>
      </c>
      <c r="DG82">
        <f t="shared" si="236"/>
        <v>5.9015453947657033</v>
      </c>
      <c r="DH82">
        <f t="shared" si="236"/>
        <v>5.5995366929986741</v>
      </c>
      <c r="DI82">
        <f t="shared" si="236"/>
        <v>5.3159989414440139</v>
      </c>
      <c r="DJ82">
        <f t="shared" si="236"/>
        <v>5.0496144232761297</v>
      </c>
      <c r="DK82">
        <f t="shared" si="236"/>
        <v>4.7991729363968085</v>
      </c>
      <c r="DL82">
        <f t="shared" si="236"/>
        <v>4.5635619212823739</v>
      </c>
      <c r="DM82">
        <f t="shared" si="236"/>
        <v>4.3417575953342009</v>
      </c>
      <c r="DN82">
        <f t="shared" si="236"/>
        <v>4.1328169811121187</v>
      </c>
      <c r="DO82">
        <f t="shared" si="236"/>
        <v>3.9358707294417785</v>
      </c>
      <c r="DP82">
        <f t="shared" si="236"/>
        <v>3.7501166504171959</v>
      </c>
      <c r="DQ82">
        <f t="shared" ref="DQ82:DW82" si="237">(_xlfn.LOGNORM.DIST(($BF$6+DQ8-$BE8+1),$BD$2,$BD$3,TRUE)-_xlfn.LOGNORM.DIST(($BF$6+DQ8-$BE8),$BD$2,$BD$3,TRUE))/(1-_xlfn.LOGNORM.DIST($BF$6,$BD$2,$BD$3,TRUE))*$AP$9</f>
        <v>3.574813875573061</v>
      </c>
      <c r="DR82">
        <f t="shared" si="237"/>
        <v>3.4092775836229667</v>
      </c>
      <c r="DS82">
        <f t="shared" si="237"/>
        <v>3.2528742299883002</v>
      </c>
      <c r="DT82">
        <f t="shared" si="237"/>
        <v>3.1050172272718921</v>
      </c>
      <c r="DU82">
        <f t="shared" si="237"/>
        <v>2.965163029839657</v>
      </c>
      <c r="DV82">
        <f t="shared" si="237"/>
        <v>2.8328075809928324</v>
      </c>
      <c r="DW82" s="4">
        <f t="shared" si="237"/>
        <v>2.7074830858255283</v>
      </c>
    </row>
    <row r="83" spans="1:127" x14ac:dyDescent="0.25">
      <c r="D83" s="23"/>
      <c r="BD83" t="s">
        <v>52</v>
      </c>
      <c r="BE83">
        <f>SUM(BE81:BE82)</f>
        <v>459.6082302948335</v>
      </c>
      <c r="BF83">
        <f t="shared" ref="BF83:DQ83" si="238">SUM(BF81:BF82)</f>
        <v>447.3726921805283</v>
      </c>
      <c r="BG83">
        <f t="shared" si="238"/>
        <v>442.48054770025868</v>
      </c>
      <c r="BH83">
        <f t="shared" si="238"/>
        <v>441.61117804047274</v>
      </c>
      <c r="BI83">
        <f t="shared" si="238"/>
        <v>442.95630371387892</v>
      </c>
      <c r="BJ83">
        <f t="shared" si="238"/>
        <v>445.60801091475014</v>
      </c>
      <c r="BK83">
        <f t="shared" si="238"/>
        <v>449.09179643359278</v>
      </c>
      <c r="BL83">
        <f t="shared" si="238"/>
        <v>453.14628348346628</v>
      </c>
      <c r="BM83">
        <f t="shared" si="238"/>
        <v>457.61891643721469</v>
      </c>
      <c r="BN83">
        <f t="shared" si="238"/>
        <v>462.40176551025576</v>
      </c>
      <c r="BO83">
        <f t="shared" si="238"/>
        <v>467.39538481985994</v>
      </c>
      <c r="BP83">
        <f t="shared" si="238"/>
        <v>472.71040288970221</v>
      </c>
      <c r="BQ83">
        <f t="shared" si="238"/>
        <v>479.60294676266108</v>
      </c>
      <c r="BR83">
        <f t="shared" si="238"/>
        <v>489.29882494189201</v>
      </c>
      <c r="BS83">
        <f t="shared" si="238"/>
        <v>500.57078212464364</v>
      </c>
      <c r="BT83">
        <f t="shared" si="238"/>
        <v>513.4878596003042</v>
      </c>
      <c r="BU83">
        <f t="shared" si="238"/>
        <v>526.72340712083974</v>
      </c>
      <c r="BV83">
        <f t="shared" si="238"/>
        <v>537.66728698539202</v>
      </c>
      <c r="BW83">
        <f t="shared" si="238"/>
        <v>545.27946252804304</v>
      </c>
      <c r="BX83">
        <f t="shared" si="238"/>
        <v>548.36640329241959</v>
      </c>
      <c r="BY83">
        <f t="shared" si="238"/>
        <v>545.42971411411804</v>
      </c>
      <c r="BZ83">
        <f t="shared" si="238"/>
        <v>538.76765818453009</v>
      </c>
      <c r="CA83">
        <f t="shared" si="238"/>
        <v>530.30107393085461</v>
      </c>
      <c r="CB83">
        <f t="shared" si="238"/>
        <v>519.69548936830279</v>
      </c>
      <c r="CC83">
        <f t="shared" si="238"/>
        <v>508.40746965683854</v>
      </c>
      <c r="CD83">
        <f t="shared" si="238"/>
        <v>497.50247785842538</v>
      </c>
      <c r="CE83">
        <f t="shared" si="238"/>
        <v>487.46243898036141</v>
      </c>
      <c r="CF83">
        <f t="shared" si="238"/>
        <v>478.67317862757596</v>
      </c>
      <c r="CG83">
        <f t="shared" si="238"/>
        <v>471.38859077030844</v>
      </c>
      <c r="CH83">
        <f t="shared" si="238"/>
        <v>464.51917977400973</v>
      </c>
      <c r="CI83">
        <f t="shared" si="238"/>
        <v>457.75820052250447</v>
      </c>
      <c r="CJ83">
        <f t="shared" si="238"/>
        <v>453.88219685491902</v>
      </c>
      <c r="CK83">
        <f t="shared" si="238"/>
        <v>453.76167922192548</v>
      </c>
      <c r="CL83">
        <f t="shared" si="238"/>
        <v>453.59867005490514</v>
      </c>
      <c r="CM83">
        <f t="shared" si="238"/>
        <v>451.63000490935127</v>
      </c>
      <c r="CN83">
        <f t="shared" si="238"/>
        <v>448.34481320437862</v>
      </c>
      <c r="CO83">
        <f t="shared" si="238"/>
        <v>444.70636559819906</v>
      </c>
      <c r="CP83">
        <f t="shared" si="238"/>
        <v>442.5653337593796</v>
      </c>
      <c r="CQ83">
        <f t="shared" si="238"/>
        <v>441.61060099423469</v>
      </c>
      <c r="CR83">
        <f t="shared" si="238"/>
        <v>441.36882722597619</v>
      </c>
      <c r="CS83">
        <f t="shared" si="238"/>
        <v>441.58022536699872</v>
      </c>
      <c r="CT83">
        <f t="shared" si="238"/>
        <v>442.10458255947952</v>
      </c>
      <c r="CU83">
        <f t="shared" si="238"/>
        <v>442.86052812704304</v>
      </c>
      <c r="CV83">
        <f t="shared" si="238"/>
        <v>443.79644896082272</v>
      </c>
      <c r="CW83">
        <f t="shared" si="238"/>
        <v>444.87670345907139</v>
      </c>
      <c r="CX83">
        <f t="shared" si="238"/>
        <v>446.07484183357468</v>
      </c>
      <c r="CY83">
        <f t="shared" si="238"/>
        <v>447.37012077073007</v>
      </c>
      <c r="CZ83">
        <f t="shared" si="238"/>
        <v>448.74562916390846</v>
      </c>
      <c r="DA83">
        <f t="shared" si="238"/>
        <v>450.1872671253837</v>
      </c>
      <c r="DB83">
        <f t="shared" si="238"/>
        <v>451.68313683609682</v>
      </c>
      <c r="DC83">
        <f t="shared" si="238"/>
        <v>453.22313293252023</v>
      </c>
      <c r="DD83">
        <f t="shared" si="238"/>
        <v>454.79864009910273</v>
      </c>
      <c r="DE83">
        <f t="shared" si="238"/>
        <v>456.40234863534607</v>
      </c>
      <c r="DF83">
        <f t="shared" si="238"/>
        <v>458.02815504437154</v>
      </c>
      <c r="DG83">
        <f t="shared" si="238"/>
        <v>459.67107297739415</v>
      </c>
      <c r="DH83">
        <f t="shared" si="238"/>
        <v>461.32712832672439</v>
      </c>
      <c r="DI83">
        <f t="shared" si="238"/>
        <v>462.9932565774111</v>
      </c>
      <c r="DJ83">
        <f t="shared" si="238"/>
        <v>464.66720385163825</v>
      </c>
      <c r="DK83">
        <f t="shared" si="238"/>
        <v>466.34743352591255</v>
      </c>
      <c r="DL83">
        <f t="shared" si="238"/>
        <v>468.03304579613678</v>
      </c>
      <c r="DM83">
        <f t="shared" si="238"/>
        <v>469.72370697450731</v>
      </c>
      <c r="DN83">
        <f t="shared" si="238"/>
        <v>471.41957741283244</v>
      </c>
      <c r="DO83">
        <f t="shared" si="238"/>
        <v>473.12120154601786</v>
      </c>
      <c r="DP83">
        <f t="shared" si="238"/>
        <v>474.82932798979311</v>
      </c>
      <c r="DQ83">
        <f t="shared" si="238"/>
        <v>476.54477960758436</v>
      </c>
      <c r="DR83">
        <f t="shared" ref="DR83:DW83" si="239">SUM(DR81:DR82)</f>
        <v>478.26839394008334</v>
      </c>
      <c r="DS83">
        <f t="shared" si="239"/>
        <v>480.00100231602886</v>
      </c>
      <c r="DT83">
        <f t="shared" si="239"/>
        <v>481.74343359090511</v>
      </c>
      <c r="DU83">
        <f t="shared" si="239"/>
        <v>483.49653896745195</v>
      </c>
      <c r="DV83">
        <f t="shared" si="239"/>
        <v>485.26121254865939</v>
      </c>
      <c r="DW83" s="4">
        <f t="shared" si="239"/>
        <v>487.03840586867034</v>
      </c>
    </row>
    <row r="84" spans="1:127" x14ac:dyDescent="0.25">
      <c r="D84" s="23"/>
    </row>
    <row r="85" spans="1:127" x14ac:dyDescent="0.25">
      <c r="D85" s="23"/>
      <c r="BE85" t="s">
        <v>98</v>
      </c>
    </row>
    <row r="86" spans="1:127" x14ac:dyDescent="0.25">
      <c r="D86" s="23"/>
      <c r="BC86" t="s">
        <v>99</v>
      </c>
      <c r="BE86">
        <v>1990</v>
      </c>
      <c r="BF86">
        <v>1991</v>
      </c>
      <c r="BG86">
        <v>1992</v>
      </c>
      <c r="BH86">
        <v>1993</v>
      </c>
      <c r="BI86">
        <v>1994</v>
      </c>
      <c r="BJ86">
        <v>1995</v>
      </c>
      <c r="BK86">
        <v>1996</v>
      </c>
      <c r="BL86">
        <v>1997</v>
      </c>
      <c r="BM86">
        <v>1998</v>
      </c>
      <c r="BN86">
        <v>1999</v>
      </c>
      <c r="BO86">
        <v>2000</v>
      </c>
      <c r="BP86">
        <v>2001</v>
      </c>
      <c r="BQ86">
        <v>2002</v>
      </c>
      <c r="BR86">
        <v>2003</v>
      </c>
      <c r="BS86">
        <v>2004</v>
      </c>
      <c r="BT86">
        <v>2005</v>
      </c>
      <c r="BU86">
        <v>2006</v>
      </c>
      <c r="BV86">
        <v>2007</v>
      </c>
      <c r="BW86">
        <v>2008</v>
      </c>
      <c r="BX86">
        <v>2009</v>
      </c>
      <c r="BY86">
        <v>2010</v>
      </c>
      <c r="BZ86">
        <v>2011</v>
      </c>
      <c r="CA86">
        <v>2012</v>
      </c>
      <c r="CB86">
        <v>2013</v>
      </c>
      <c r="CC86">
        <v>2014</v>
      </c>
      <c r="CD86">
        <v>2015</v>
      </c>
      <c r="CE86">
        <v>2016</v>
      </c>
      <c r="CF86">
        <v>2017</v>
      </c>
      <c r="CG86">
        <v>2018</v>
      </c>
      <c r="CH86">
        <v>2019</v>
      </c>
      <c r="CI86">
        <v>2020</v>
      </c>
      <c r="CJ86">
        <v>2021</v>
      </c>
      <c r="CK86">
        <v>2022</v>
      </c>
      <c r="CL86">
        <v>2023</v>
      </c>
      <c r="CM86">
        <v>2024</v>
      </c>
      <c r="CN86">
        <v>2025</v>
      </c>
      <c r="CO86">
        <v>2026</v>
      </c>
      <c r="CP86">
        <v>2027</v>
      </c>
      <c r="CQ86">
        <v>2028</v>
      </c>
      <c r="CR86">
        <v>2029</v>
      </c>
      <c r="CS86">
        <v>2030</v>
      </c>
      <c r="CT86">
        <v>2031</v>
      </c>
      <c r="CU86">
        <v>2032</v>
      </c>
      <c r="CV86">
        <v>2033</v>
      </c>
      <c r="CW86">
        <v>2034</v>
      </c>
      <c r="CX86">
        <v>2035</v>
      </c>
      <c r="CY86">
        <v>2036</v>
      </c>
      <c r="CZ86">
        <v>2037</v>
      </c>
      <c r="DA86">
        <v>2038</v>
      </c>
      <c r="DB86">
        <v>2039</v>
      </c>
      <c r="DC86">
        <v>2040</v>
      </c>
      <c r="DD86">
        <v>2041</v>
      </c>
      <c r="DE86">
        <v>2042</v>
      </c>
      <c r="DF86">
        <v>2043</v>
      </c>
      <c r="DG86">
        <v>2044</v>
      </c>
      <c r="DH86">
        <v>2045</v>
      </c>
      <c r="DI86">
        <v>2046</v>
      </c>
      <c r="DJ86">
        <v>2047</v>
      </c>
      <c r="DK86">
        <v>2048</v>
      </c>
      <c r="DL86">
        <v>2049</v>
      </c>
      <c r="DM86">
        <v>2050</v>
      </c>
      <c r="DN86">
        <v>2051</v>
      </c>
      <c r="DO86">
        <v>2052</v>
      </c>
      <c r="DP86">
        <v>2053</v>
      </c>
      <c r="DQ86">
        <v>2054</v>
      </c>
      <c r="DR86">
        <v>2055</v>
      </c>
      <c r="DS86">
        <v>2056</v>
      </c>
      <c r="DT86">
        <v>2057</v>
      </c>
      <c r="DU86">
        <v>2058</v>
      </c>
      <c r="DV86">
        <v>2059</v>
      </c>
      <c r="DW86">
        <v>2060</v>
      </c>
    </row>
    <row r="87" spans="1:127" x14ac:dyDescent="0.25">
      <c r="D87"/>
      <c r="BD87">
        <v>1990</v>
      </c>
      <c r="BE87" s="5">
        <f>$AW10-SUM($BE10:BE10)</f>
        <v>492.03515043411977</v>
      </c>
      <c r="BF87" s="5">
        <f>$AW10-SUM($BE10:BF10)</f>
        <v>466.49470182745904</v>
      </c>
      <c r="BG87" s="5">
        <f>$AW10-SUM($BE10:BG10)</f>
        <v>430.75574349789429</v>
      </c>
      <c r="BH87" s="5">
        <f>$AW10-SUM($BE10:BH10)</f>
        <v>392.7293863168054</v>
      </c>
      <c r="BI87" s="5">
        <f>$AW10-SUM($BE10:BI10)</f>
        <v>356.05613476567754</v>
      </c>
      <c r="BJ87" s="5">
        <f>$AW10-SUM($BE10:BJ10)</f>
        <v>322.17956106603964</v>
      </c>
      <c r="BK87" s="5">
        <f>$AW10-SUM($BE10:BK10)</f>
        <v>291.52731109600228</v>
      </c>
      <c r="BL87" s="5">
        <f>$AW10-SUM($BE10:BL10)</f>
        <v>264.07230805397069</v>
      </c>
      <c r="BM87" s="5">
        <f>$AW10-SUM($BE10:BM10)</f>
        <v>239.59577341555791</v>
      </c>
      <c r="BN87" s="5">
        <f>$AW10-SUM($BE10:BN10)</f>
        <v>217.81093754258319</v>
      </c>
      <c r="BO87" s="5">
        <f>$AW10-SUM($BE10:BO10)</f>
        <v>198.42072126339627</v>
      </c>
      <c r="BP87" s="5">
        <f>$AW10-SUM($BE10:BP10)</f>
        <v>181.14356463362003</v>
      </c>
      <c r="BQ87" s="5">
        <f>$AW10-SUM($BE10:BQ10)</f>
        <v>165.72374138618039</v>
      </c>
      <c r="BR87" s="5">
        <f>$AW10-SUM($BE10:BR10)</f>
        <v>151.93415630002096</v>
      </c>
      <c r="BS87" s="5">
        <f>$AW10-SUM($BE10:BS10)</f>
        <v>139.57560874418618</v>
      </c>
      <c r="BT87" s="5">
        <f>$AW10-SUM($BE10:BT10)</f>
        <v>128.47452319630429</v>
      </c>
      <c r="BU87" s="5">
        <f>$AW10-SUM($BE10:BU10)</f>
        <v>118.48014766980015</v>
      </c>
      <c r="BV87" s="5">
        <f>$AW10-SUM($BE10:BV10)</f>
        <v>109.46170925397729</v>
      </c>
      <c r="BW87" s="5">
        <f>$AW10-SUM($BE10:BW10)</f>
        <v>101.30575225438429</v>
      </c>
      <c r="BX87" s="5">
        <f>$AW10-SUM($BE10:BX10)</f>
        <v>93.913748959440966</v>
      </c>
      <c r="BY87" s="5">
        <f>$AW10-SUM($BE10:BY10)</f>
        <v>87.200004735436949</v>
      </c>
      <c r="BZ87" s="5">
        <f>$AW10-SUM($BE10:BZ10)</f>
        <v>81.08984617418173</v>
      </c>
      <c r="CA87" s="5">
        <f>$AW10-SUM($BE10:CA10)</f>
        <v>75.518066600703435</v>
      </c>
      <c r="CB87" s="5">
        <f>$AW10-SUM($BE10:CB10)</f>
        <v>70.427598438793666</v>
      </c>
      <c r="CC87" s="5">
        <f>$AW10-SUM($BE10:CC10)</f>
        <v>65.768381930305623</v>
      </c>
      <c r="CD87" s="5">
        <f>$AW10-SUM($BE10:CD10)</f>
        <v>61.496401942117757</v>
      </c>
      <c r="CE87" s="5">
        <f>$AW10-SUM($BE10:CE10)</f>
        <v>57.572867714417043</v>
      </c>
      <c r="CF87" s="5">
        <f>$AW10-SUM($BE10:CF10)</f>
        <v>53.963513705771845</v>
      </c>
      <c r="CG87" s="5">
        <f>$AW10-SUM($BE10:CG10)</f>
        <v>50.638002832654763</v>
      </c>
      <c r="CH87" s="5">
        <f>$AW10-SUM($BE10:CH10)</f>
        <v>47.569416234783887</v>
      </c>
      <c r="CI87" s="5">
        <f>$AW10-SUM($BE10:CI10)</f>
        <v>44.733816175731306</v>
      </c>
      <c r="CJ87" s="5">
        <f>$AW10-SUM($BE10:CJ10)</f>
        <v>42.109870815091369</v>
      </c>
      <c r="CK87" s="5">
        <f>$AW10-SUM($BE10:CK10)</f>
        <v>39.678531392516277</v>
      </c>
      <c r="CL87" s="5">
        <f>$AW10-SUM($BE10:CL10)</f>
        <v>37.422753882802795</v>
      </c>
      <c r="CM87" s="5">
        <f>$AW10-SUM($BE10:CM10)</f>
        <v>35.327258454166099</v>
      </c>
      <c r="CN87" s="5">
        <f>$AW10-SUM($BE10:CN10)</f>
        <v>33.378321125866592</v>
      </c>
      <c r="CO87" s="5">
        <f>$AW10-SUM($BE10:CO10)</f>
        <v>31.563592909599947</v>
      </c>
      <c r="CP87" s="5">
        <f>$AW10-SUM($BE10:CP10)</f>
        <v>29.871942460301796</v>
      </c>
      <c r="CQ87" s="5">
        <f>$AW10-SUM($BE10:CQ10)</f>
        <v>28.293318880819697</v>
      </c>
      <c r="CR87" s="5">
        <f>$AW10-SUM($BE10:CR10)</f>
        <v>26.818631841918432</v>
      </c>
      <c r="CS87" s="5">
        <f>$AW10-SUM($BE10:CS10)</f>
        <v>25.439646611599983</v>
      </c>
      <c r="CT87" s="5">
        <f>$AW10-SUM($BE10:CT10)</f>
        <v>24.148891950079474</v>
      </c>
      <c r="CU87" s="5">
        <f>$AW10-SUM($BE10:CU10)</f>
        <v>22.939579130864558</v>
      </c>
      <c r="CV87" s="5">
        <f>$AW10-SUM($BE10:CV10)</f>
        <v>21.805530604068451</v>
      </c>
      <c r="CW87" s="5">
        <f>$AW10-SUM($BE10:CW10)</f>
        <v>20.741117033476883</v>
      </c>
      <c r="CX87" s="5">
        <f>$AW10-SUM($BE10:CX10)</f>
        <v>19.7412016206967</v>
      </c>
      <c r="CY87" s="5">
        <f>$AW10-SUM($BE10:CY10)</f>
        <v>18.801090783494317</v>
      </c>
      <c r="CZ87" s="5">
        <f>$AW10-SUM($BE10:CZ10)</f>
        <v>17.91649038577259</v>
      </c>
      <c r="DA87" s="5">
        <f>$AW10-SUM($BE10:DA10)</f>
        <v>17.083466827336053</v>
      </c>
      <c r="DB87" s="5">
        <f>$AW10-SUM($BE10:DB10)</f>
        <v>16.298412395819867</v>
      </c>
      <c r="DC87" s="5">
        <f>$AW10-SUM($BE10:DC10)</f>
        <v>15.558014363514644</v>
      </c>
      <c r="DD87" s="5">
        <f>$AW10-SUM($BE10:DD10)</f>
        <v>14.859227380496236</v>
      </c>
      <c r="DE87" s="5">
        <f>$AW10-SUM($BE10:DE10)</f>
        <v>14.199248774283717</v>
      </c>
      <c r="DF87" s="5">
        <f>$AW10-SUM($BE10:DF10)</f>
        <v>13.575496416711303</v>
      </c>
      <c r="DG87" s="5">
        <f>$AW10-SUM($BE10:DG10)</f>
        <v>12.985588862089799</v>
      </c>
      <c r="DH87" s="5">
        <f>$AW10-SUM($BE10:DH10)</f>
        <v>12.427327498106365</v>
      </c>
      <c r="DI87" s="5">
        <f>$AW10-SUM($BE10:DI10)</f>
        <v>11.89868048317021</v>
      </c>
      <c r="DJ87" s="5">
        <f>$AW10-SUM($BE10:DJ10)</f>
        <v>11.397768271804068</v>
      </c>
      <c r="DK87" s="5">
        <f>$AW10-SUM($BE10:DK10)</f>
        <v>10.922850553840817</v>
      </c>
      <c r="DL87" s="5">
        <f>$AW10-SUM($BE10:DL10)</f>
        <v>10.472314454155537</v>
      </c>
      <c r="DM87" s="5">
        <f>$AW10-SUM($BE10:DM10)</f>
        <v>10.044663857889361</v>
      </c>
      <c r="DN87" s="5">
        <f>$AW10-SUM($BE10:DN10)</f>
        <v>9.638509741996188</v>
      </c>
      <c r="DO87" s="5">
        <f>$AW10-SUM($BE10:DO10)</f>
        <v>9.2525614077894716</v>
      </c>
      <c r="DP87" s="5">
        <f>$AW10-SUM($BE10:DP10)</f>
        <v>8.8856185212656555</v>
      </c>
      <c r="DQ87" s="5">
        <f>$AW10-SUM($BE10:DQ10)</f>
        <v>8.5365638785679607</v>
      </c>
      <c r="DR87" s="5">
        <f>$AW10-SUM($BE10:DR10)</f>
        <v>8.2043568232356847</v>
      </c>
      <c r="DS87" s="5">
        <f>$AW10-SUM($BE10:DS10)</f>
        <v>7.8880272500309729</v>
      </c>
      <c r="DT87" s="5">
        <f>$AW10-SUM($BE10:DT10)</f>
        <v>7.586670137299393</v>
      </c>
      <c r="DU87" s="5">
        <f>$AW10-SUM($BE10:DU10)</f>
        <v>7.2994405561276494</v>
      </c>
      <c r="DV87" s="5">
        <f>$AW10-SUM($BE10:DV10)</f>
        <v>7.0255491101228813</v>
      </c>
      <c r="DW87" s="5">
        <f>$AW10-SUM($BE10:DW10)</f>
        <v>6.7642577645522124</v>
      </c>
    </row>
    <row r="88" spans="1:127" x14ac:dyDescent="0.25">
      <c r="A88" s="1"/>
      <c r="B88" t="s">
        <v>4</v>
      </c>
      <c r="D88"/>
      <c r="BD88">
        <v>1991</v>
      </c>
      <c r="BE88">
        <f>$AW11-SUM($BE11:BE11)</f>
        <v>504.02722546132873</v>
      </c>
      <c r="BF88">
        <f>$AW11-SUM($BE11:BF11)</f>
        <v>497.8968555590879</v>
      </c>
      <c r="BG88">
        <f>$AW11-SUM($BE11:BG11)</f>
        <v>472.05213889686331</v>
      </c>
      <c r="BH88">
        <f>$AW11-SUM($BE11:BH11)</f>
        <v>435.88741579212638</v>
      </c>
      <c r="BI88">
        <f>$AW11-SUM($BE11:BI11)</f>
        <v>397.4080436331937</v>
      </c>
      <c r="BJ88">
        <f>$AW11-SUM($BE11:BJ11)</f>
        <v>360.29789690013251</v>
      </c>
      <c r="BK88">
        <f>$AW11-SUM($BE11:BK11)</f>
        <v>326.01774535550464</v>
      </c>
      <c r="BL88">
        <f>$AW11-SUM($BE11:BL11)</f>
        <v>295.00032950131725</v>
      </c>
      <c r="BM88">
        <f>$AW11-SUM($BE11:BM11)</f>
        <v>267.21824996506467</v>
      </c>
      <c r="BN88">
        <f>$AW11-SUM($BE11:BN11)</f>
        <v>242.45012187361334</v>
      </c>
      <c r="BO88">
        <f>$AW11-SUM($BE11:BO11)</f>
        <v>220.4057592494085</v>
      </c>
      <c r="BP88">
        <f>$AW11-SUM($BE11:BP11)</f>
        <v>200.78454376206003</v>
      </c>
      <c r="BQ88">
        <f>$AW11-SUM($BE11:BQ11)</f>
        <v>183.30156119185597</v>
      </c>
      <c r="BR88">
        <f>$AW11-SUM($BE11:BR11)</f>
        <v>167.69803875773044</v>
      </c>
      <c r="BS88">
        <f>$AW11-SUM($BE11:BS11)</f>
        <v>153.74417581154535</v>
      </c>
      <c r="BT88">
        <f>$AW11-SUM($BE11:BT11)</f>
        <v>141.23839860863905</v>
      </c>
      <c r="BU88">
        <f>$AW11-SUM($BE11:BU11)</f>
        <v>130.00506378955913</v>
      </c>
      <c r="BV88">
        <f>$AW11-SUM($BE11:BV11)</f>
        <v>119.891623431624</v>
      </c>
      <c r="BW88">
        <f>$AW11-SUM($BE11:BW11)</f>
        <v>110.7657467024315</v>
      </c>
      <c r="BX88">
        <f>$AW11-SUM($BE11:BX11)</f>
        <v>102.51262628900241</v>
      </c>
      <c r="BY88">
        <f>$AW11-SUM($BE11:BY11)</f>
        <v>95.032560701030775</v>
      </c>
      <c r="BZ88">
        <f>$AW11-SUM($BE11:BZ11)</f>
        <v>88.23883440889432</v>
      </c>
      <c r="CA88">
        <f>$AW11-SUM($BE11:CA11)</f>
        <v>82.055884406374616</v>
      </c>
      <c r="CB88">
        <f>$AW11-SUM($BE11:CB11)</f>
        <v>76.4177271994036</v>
      </c>
      <c r="CC88">
        <f>$AW11-SUM($BE11:CC11)</f>
        <v>71.266615355255226</v>
      </c>
      <c r="CD88">
        <f>$AW11-SUM($BE11:CD11)</f>
        <v>66.551892744688814</v>
      </c>
      <c r="CE88">
        <f>$AW11-SUM($BE11:CE11)</f>
        <v>62.229019874217158</v>
      </c>
      <c r="CF88">
        <f>$AW11-SUM($BE11:CF11)</f>
        <v>58.258743862580445</v>
      </c>
      <c r="CG88">
        <f>$AW11-SUM($BE11:CG11)</f>
        <v>54.606390956658061</v>
      </c>
      <c r="CH88">
        <f>$AW11-SUM($BE11:CH11)</f>
        <v>51.241262661674114</v>
      </c>
      <c r="CI88">
        <f>$AW11-SUM($BE11:CI11)</f>
        <v>48.13611942801964</v>
      </c>
      <c r="CJ88">
        <f>$AW11-SUM($BE11:CJ11)</f>
        <v>45.26673834461576</v>
      </c>
      <c r="CK88">
        <f>$AW11-SUM($BE11:CK11)</f>
        <v>42.611533440923779</v>
      </c>
      <c r="CL88">
        <f>$AW11-SUM($BE11:CL11)</f>
        <v>40.151229025215059</v>
      </c>
      <c r="CM88">
        <f>$AW11-SUM($BE11:CM11)</f>
        <v>37.868578023683369</v>
      </c>
      <c r="CN88">
        <f>$AW11-SUM($BE11:CN11)</f>
        <v>35.748118573101181</v>
      </c>
      <c r="CO88">
        <f>$AW11-SUM($BE11:CO11)</f>
        <v>33.77596319642555</v>
      </c>
      <c r="CP88">
        <f>$AW11-SUM($BE11:CP11)</f>
        <v>31.939615789586185</v>
      </c>
      <c r="CQ88">
        <f>$AW11-SUM($BE11:CQ11)</f>
        <v>30.227812397760317</v>
      </c>
      <c r="CR88">
        <f>$AW11-SUM($BE11:CR11)</f>
        <v>28.630382385611597</v>
      </c>
      <c r="CS88">
        <f>$AW11-SUM($BE11:CS11)</f>
        <v>27.138127129142902</v>
      </c>
      <c r="CT88">
        <f>$AW11-SUM($BE11:CT11)</f>
        <v>25.742713794481347</v>
      </c>
      <c r="CU88">
        <f>$AW11-SUM($BE11:CU11)</f>
        <v>24.436582135590129</v>
      </c>
      <c r="CV88">
        <f>$AW11-SUM($BE11:CV11)</f>
        <v>23.212862550631314</v>
      </c>
      <c r="CW88">
        <f>$AW11-SUM($BE11:CW11)</f>
        <v>22.065303895431555</v>
      </c>
      <c r="CX88">
        <f>$AW11-SUM($BE11:CX11)</f>
        <v>20.98820977046023</v>
      </c>
      <c r="CY88">
        <f>$AW11-SUM($BE11:CY11)</f>
        <v>19.97638218170141</v>
      </c>
      <c r="CZ88">
        <f>$AW11-SUM($BE11:CZ11)</f>
        <v>19.025071631414335</v>
      </c>
      <c r="DA88">
        <f>$AW11-SUM($BE11:DA11)</f>
        <v>18.129932826669631</v>
      </c>
      <c r="DB88">
        <f>$AW11-SUM($BE11:DB11)</f>
        <v>17.286985305570227</v>
      </c>
      <c r="DC88">
        <f>$AW11-SUM($BE11:DC11)</f>
        <v>16.492578376411302</v>
      </c>
      <c r="DD88">
        <f>$AW11-SUM($BE11:DD11)</f>
        <v>15.743359846349676</v>
      </c>
      <c r="DE88">
        <f>$AW11-SUM($BE11:DE11)</f>
        <v>15.036248085648197</v>
      </c>
      <c r="DF88">
        <f>$AW11-SUM($BE11:DF11)</f>
        <v>14.368407033073879</v>
      </c>
      <c r="DG88">
        <f>$AW11-SUM($BE11:DG11)</f>
        <v>13.73722379909384</v>
      </c>
      <c r="DH88">
        <f>$AW11-SUM($BE11:DH11)</f>
        <v>13.140288567418906</v>
      </c>
      <c r="DI88">
        <f>$AW11-SUM($BE11:DI11)</f>
        <v>12.57537653326392</v>
      </c>
      <c r="DJ88">
        <f>$AW11-SUM($BE11:DJ11)</f>
        <v>12.040431649336028</v>
      </c>
      <c r="DK88">
        <f>$AW11-SUM($BE11:DK11)</f>
        <v>11.533551978787443</v>
      </c>
      <c r="DL88">
        <f>$AW11-SUM($BE11:DL11)</f>
        <v>11.05297647881639</v>
      </c>
      <c r="DM88">
        <f>$AW11-SUM($BE11:DM11)</f>
        <v>10.597073059820332</v>
      </c>
      <c r="DN88">
        <f>$AW11-SUM($BE11:DN11)</f>
        <v>10.164327783449266</v>
      </c>
      <c r="DO88">
        <f>$AW11-SUM($BE11:DO11)</f>
        <v>9.7533350789703377</v>
      </c>
      <c r="DP88">
        <f>$AW11-SUM($BE11:DP11)</f>
        <v>9.362788871366547</v>
      </c>
      <c r="DQ88">
        <f>$AW11-SUM($BE11:DQ11)</f>
        <v>8.9914745268348497</v>
      </c>
      <c r="DR88">
        <f>$AW11-SUM($BE11:DR11)</f>
        <v>8.6382615320637228</v>
      </c>
      <c r="DS88">
        <f>$AW11-SUM($BE11:DS11)</f>
        <v>8.3020968330609435</v>
      </c>
      <c r="DT88">
        <f>$AW11-SUM($BE11:DT11)</f>
        <v>7.9819987675467132</v>
      </c>
      <c r="DU88">
        <f>$AW11-SUM($BE11:DU11)</f>
        <v>7.6770515321774155</v>
      </c>
      <c r="DV88">
        <f>$AW11-SUM($BE11:DV11)</f>
        <v>7.386400132246365</v>
      </c>
      <c r="DW88" s="4">
        <f>$AW11-SUM($BE11:DW11)</f>
        <v>7.1092457671364855</v>
      </c>
    </row>
    <row r="89" spans="1:127" x14ac:dyDescent="0.25">
      <c r="A89" s="2"/>
      <c r="B89" t="s">
        <v>5</v>
      </c>
      <c r="D89"/>
      <c r="BD89">
        <v>1992</v>
      </c>
      <c r="BE89">
        <f>$AW12-SUM($BE12:BE12)</f>
        <v>510.02216445798001</v>
      </c>
      <c r="BF89">
        <f>$AW12-SUM($BE12:BF12)</f>
        <v>510.02216445798001</v>
      </c>
      <c r="BG89">
        <f>$AW12-SUM($BE12:BG12)</f>
        <v>503.81887945962069</v>
      </c>
      <c r="BH89">
        <f>$AW12-SUM($BE12:BH12)</f>
        <v>477.66676372855818</v>
      </c>
      <c r="BI89">
        <f>$AW12-SUM($BE12:BI12)</f>
        <v>441.07189459620292</v>
      </c>
      <c r="BJ89">
        <f>$AW12-SUM($BE12:BJ12)</f>
        <v>402.13484579388836</v>
      </c>
      <c r="BK89">
        <f>$AW12-SUM($BE12:BK12)</f>
        <v>364.5833080910877</v>
      </c>
      <c r="BL89">
        <f>$AW12-SUM($BE12:BL12)</f>
        <v>329.89542575946132</v>
      </c>
      <c r="BM89">
        <f>$AW12-SUM($BE12:BM12)</f>
        <v>298.50908635018334</v>
      </c>
      <c r="BN89">
        <f>$AW12-SUM($BE12:BN12)</f>
        <v>270.39656460048184</v>
      </c>
      <c r="BO89">
        <f>$AW12-SUM($BE12:BO12)</f>
        <v>245.33384246833441</v>
      </c>
      <c r="BP89">
        <f>$AW12-SUM($BE12:BP12)</f>
        <v>223.02728248161367</v>
      </c>
      <c r="BQ89">
        <f>$AW12-SUM($BE12:BQ12)</f>
        <v>203.17269073214135</v>
      </c>
      <c r="BR89">
        <f>$AW12-SUM($BE12:BR12)</f>
        <v>185.4817642083305</v>
      </c>
      <c r="BS89">
        <f>$AW12-SUM($BE12:BS12)</f>
        <v>169.6926522655433</v>
      </c>
      <c r="BT89">
        <f>$AW12-SUM($BE12:BT12)</f>
        <v>155.57282098887077</v>
      </c>
      <c r="BU89">
        <f>$AW12-SUM($BE12:BU12)</f>
        <v>142.91829909986438</v>
      </c>
      <c r="BV89">
        <f>$AW12-SUM($BE12:BV12)</f>
        <v>131.55135412330196</v>
      </c>
      <c r="BW89">
        <f>$AW12-SUM($BE12:BW12)</f>
        <v>121.31762371965232</v>
      </c>
      <c r="BX89">
        <f>$AW12-SUM($BE12:BX12)</f>
        <v>112.08320310330691</v>
      </c>
      <c r="BY89">
        <f>$AW12-SUM($BE12:BY12)</f>
        <v>103.7319194341822</v>
      </c>
      <c r="BZ89">
        <f>$AW12-SUM($BE12:BZ12)</f>
        <v>96.162885364696933</v>
      </c>
      <c r="CA89">
        <f>$AW12-SUM($BE12:CA12)</f>
        <v>89.288353963979205</v>
      </c>
      <c r="CB89">
        <f>$AW12-SUM($BE12:CB12)</f>
        <v>83.031863473541364</v>
      </c>
      <c r="CC89">
        <f>$AW12-SUM($BE12:CC12)</f>
        <v>77.326645586508107</v>
      </c>
      <c r="CD89">
        <f>$AW12-SUM($BE12:CD12)</f>
        <v>72.114266017699947</v>
      </c>
      <c r="CE89">
        <f>$AW12-SUM($BE12:CE12)</f>
        <v>67.34346612993761</v>
      </c>
      <c r="CF89">
        <f>$AW12-SUM($BE12:CF12)</f>
        <v>62.969176673536424</v>
      </c>
      <c r="CG89">
        <f>$AW12-SUM($BE12:CG12)</f>
        <v>58.951677890415851</v>
      </c>
      <c r="CH89">
        <f>$AW12-SUM($BE12:CH12)</f>
        <v>55.255883615140419</v>
      </c>
      <c r="CI89">
        <f>$AW12-SUM($BE12:CI12)</f>
        <v>51.85073022265135</v>
      </c>
      <c r="CJ89">
        <f>$AW12-SUM($BE12:CJ12)</f>
        <v>48.708654174019273</v>
      </c>
      <c r="CK89">
        <f>$AW12-SUM($BE12:CK12)</f>
        <v>45.805144448978183</v>
      </c>
      <c r="CL89">
        <f>$AW12-SUM($BE12:CL12)</f>
        <v>43.11835833177804</v>
      </c>
      <c r="CM89">
        <f>$AW12-SUM($BE12:CM12)</f>
        <v>40.628790864114364</v>
      </c>
      <c r="CN89">
        <f>$AW12-SUM($BE12:CN12)</f>
        <v>38.318989834144588</v>
      </c>
      <c r="CO89">
        <f>$AW12-SUM($BE12:CO12)</f>
        <v>36.173309474038149</v>
      </c>
      <c r="CP89">
        <f>$AW12-SUM($BE12:CP12)</f>
        <v>34.177697128020668</v>
      </c>
      <c r="CQ89">
        <f>$AW12-SUM($BE12:CQ12)</f>
        <v>32.31950806238882</v>
      </c>
      <c r="CR89">
        <f>$AW12-SUM($BE12:CR12)</f>
        <v>30.587344347965598</v>
      </c>
      <c r="CS89">
        <f>$AW12-SUM($BE12:CS12)</f>
        <v>28.97091437908739</v>
      </c>
      <c r="CT89">
        <f>$AW12-SUM($BE12:CT12)</f>
        <v>27.460910122608311</v>
      </c>
      <c r="CU89">
        <f>$AW12-SUM($BE12:CU12)</f>
        <v>26.048899633281678</v>
      </c>
      <c r="CV89">
        <f>$AW12-SUM($BE12:CV12)</f>
        <v>24.727232742916669</v>
      </c>
      <c r="CW89">
        <f>$AW12-SUM($BE12:CW12)</f>
        <v>23.48895814209709</v>
      </c>
      <c r="CX89">
        <f>$AW12-SUM($BE12:CX12)</f>
        <v>22.32775033505493</v>
      </c>
      <c r="CY89">
        <f>$AW12-SUM($BE12:CY12)</f>
        <v>21.237845168840863</v>
      </c>
      <c r="CZ89">
        <f>$AW12-SUM($BE12:CZ12)</f>
        <v>20.213982824094046</v>
      </c>
      <c r="DA89">
        <f>$AW12-SUM($BE12:DA12)</f>
        <v>19.251357312178413</v>
      </c>
      <c r="DB89">
        <f>$AW12-SUM($BE12:DB12)</f>
        <v>18.345571656912739</v>
      </c>
      <c r="DC89">
        <f>$AW12-SUM($BE12:DC12)</f>
        <v>17.492598052476808</v>
      </c>
      <c r="DD89">
        <f>$AW12-SUM($BE12:DD12)</f>
        <v>16.688742385554804</v>
      </c>
      <c r="DE89">
        <f>$AW12-SUM($BE12:DE12)</f>
        <v>15.930612592061379</v>
      </c>
      <c r="DF89">
        <f>$AW12-SUM($BE12:DF12)</f>
        <v>15.215090389115801</v>
      </c>
      <c r="DG89">
        <f>$AW12-SUM($BE12:DG12)</f>
        <v>14.539305983152246</v>
      </c>
      <c r="DH89">
        <f>$AW12-SUM($BE12:DH12)</f>
        <v>13.900615406726672</v>
      </c>
      <c r="DI89">
        <f>$AW12-SUM($BE12:DI12)</f>
        <v>13.296580181007641</v>
      </c>
      <c r="DJ89">
        <f>$AW12-SUM($BE12:DJ12)</f>
        <v>12.72494903920898</v>
      </c>
      <c r="DK89">
        <f>$AW12-SUM($BE12:DK12)</f>
        <v>12.183641479251492</v>
      </c>
      <c r="DL89">
        <f>$AW12-SUM($BE12:DL12)</f>
        <v>11.670732942502696</v>
      </c>
      <c r="DM89">
        <f>$AW12-SUM($BE12:DM12)</f>
        <v>11.184441440180819</v>
      </c>
      <c r="DN89">
        <f>$AW12-SUM($BE12:DN12)</f>
        <v>10.723115470482753</v>
      </c>
      <c r="DO89">
        <f>$AW12-SUM($BE12:DO12)</f>
        <v>10.285223088158091</v>
      </c>
      <c r="DP89">
        <f>$AW12-SUM($BE12:DP12)</f>
        <v>9.8693420045065068</v>
      </c>
      <c r="DQ89">
        <f>$AW12-SUM($BE12:DQ12)</f>
        <v>9.4741506099531421</v>
      </c>
      <c r="DR89">
        <f>$AW12-SUM($BE12:DR12)</f>
        <v>9.0984198237460987</v>
      </c>
      <c r="DS89">
        <f>$AW12-SUM($BE12:DS12)</f>
        <v>8.7410056861606336</v>
      </c>
      <c r="DT89">
        <f>$AW12-SUM($BE12:DT12)</f>
        <v>8.4008426180984657</v>
      </c>
      <c r="DU89">
        <f>$AW12-SUM($BE12:DU12)</f>
        <v>8.0769372813124392</v>
      </c>
      <c r="DV89">
        <f>$AW12-SUM($BE12:DV12)</f>
        <v>7.7683629798227116</v>
      </c>
      <c r="DW89" s="4">
        <f>$AW12-SUM($BE12:DW12)</f>
        <v>7.4742545495491299</v>
      </c>
    </row>
    <row r="90" spans="1:127" x14ac:dyDescent="0.25">
      <c r="A90" s="16"/>
      <c r="B90" t="s">
        <v>36</v>
      </c>
      <c r="D90"/>
      <c r="BD90">
        <v>1993</v>
      </c>
      <c r="BE90">
        <f>$AW13-SUM($BE13:BE13)</f>
        <v>515.66815946767497</v>
      </c>
      <c r="BF90">
        <f>$AW13-SUM($BE13:BF13)</f>
        <v>515.66815946767497</v>
      </c>
      <c r="BG90">
        <f>$AW13-SUM($BE13:BG13)</f>
        <v>515.66815946767497</v>
      </c>
      <c r="BH90">
        <f>$AW13-SUM($BE13:BH13)</f>
        <v>509.3962035005124</v>
      </c>
      <c r="BI90">
        <f>$AW13-SUM($BE13:BI13)</f>
        <v>482.95458130247619</v>
      </c>
      <c r="BJ90">
        <f>$AW13-SUM($BE13:BJ13)</f>
        <v>445.9546034064237</v>
      </c>
      <c r="BK90">
        <f>$AW13-SUM($BE13:BK13)</f>
        <v>406.5865176834613</v>
      </c>
      <c r="BL90">
        <f>$AW13-SUM($BE13:BL13)</f>
        <v>368.61928080275982</v>
      </c>
      <c r="BM90">
        <f>$AW13-SUM($BE13:BM13)</f>
        <v>333.5474002369599</v>
      </c>
      <c r="BN90">
        <f>$AW13-SUM($BE13:BN13)</f>
        <v>301.8136109950542</v>
      </c>
      <c r="BO90">
        <f>$AW13-SUM($BE13:BO13)</f>
        <v>273.38988089291286</v>
      </c>
      <c r="BP90">
        <f>$AW13-SUM($BE13:BP13)</f>
        <v>248.04971198698092</v>
      </c>
      <c r="BQ90">
        <f>$AW13-SUM($BE13:BQ13)</f>
        <v>225.49621620972971</v>
      </c>
      <c r="BR90">
        <f>$AW13-SUM($BE13:BR13)</f>
        <v>205.4218321968051</v>
      </c>
      <c r="BS90">
        <f>$AW13-SUM($BE13:BS13)</f>
        <v>187.53506539421642</v>
      </c>
      <c r="BT90">
        <f>$AW13-SUM($BE13:BT13)</f>
        <v>171.57116644519937</v>
      </c>
      <c r="BU90">
        <f>$AW13-SUM($BE13:BU13)</f>
        <v>157.29502726177037</v>
      </c>
      <c r="BV90">
        <f>$AW13-SUM($BE13:BV13)</f>
        <v>144.50041858357253</v>
      </c>
      <c r="BW90">
        <f>$AW13-SUM($BE13:BW13)</f>
        <v>133.00764041958121</v>
      </c>
      <c r="BX90">
        <f>$AW13-SUM($BE13:BX13)</f>
        <v>122.66062162413988</v>
      </c>
      <c r="BY90">
        <f>$AW13-SUM($BE13:BY13)</f>
        <v>113.32397507262806</v>
      </c>
      <c r="BZ90">
        <f>$AW13-SUM($BE13:BZ13)</f>
        <v>104.88024188031341</v>
      </c>
      <c r="CA90">
        <f>$AW13-SUM($BE13:CA13)</f>
        <v>97.227417866855887</v>
      </c>
      <c r="CB90">
        <f>$AW13-SUM($BE13:CB13)</f>
        <v>90.276784734317005</v>
      </c>
      <c r="CC90">
        <f>$AW13-SUM($BE13:CC13)</f>
        <v>83.95103428509924</v>
      </c>
      <c r="CD90">
        <f>$AW13-SUM($BE13:CD13)</f>
        <v>78.182659080670476</v>
      </c>
      <c r="CE90">
        <f>$AW13-SUM($BE13:CE13)</f>
        <v>72.912577962625903</v>
      </c>
      <c r="CF90">
        <f>$AW13-SUM($BE13:CF13)</f>
        <v>68.088964855682832</v>
      </c>
      <c r="CG90">
        <f>$AW13-SUM($BE13:CG13)</f>
        <v>63.666251589175147</v>
      </c>
      <c r="CH90">
        <f>$AW13-SUM($BE13:CH13)</f>
        <v>59.604278703433806</v>
      </c>
      <c r="CI90">
        <f>$AW13-SUM($BE13:CI13)</f>
        <v>55.867571625756455</v>
      </c>
      <c r="CJ90">
        <f>$AW13-SUM($BE13:CJ13)</f>
        <v>52.424722853730941</v>
      </c>
      <c r="CK90">
        <f>$AW13-SUM($BE13:CK13)</f>
        <v>49.247863717368716</v>
      </c>
      <c r="CL90">
        <f>$AW13-SUM($BE13:CL13)</f>
        <v>46.312211857023385</v>
      </c>
      <c r="CM90">
        <f>$AW13-SUM($BE13:CM13)</f>
        <v>43.595682755955181</v>
      </c>
      <c r="CN90">
        <f>$AW13-SUM($BE13:CN13)</f>
        <v>41.078555534072507</v>
      </c>
      <c r="CO90">
        <f>$AW13-SUM($BE13:CO13)</f>
        <v>38.743184781848697</v>
      </c>
      <c r="CP90">
        <f>$AW13-SUM($BE13:CP13)</f>
        <v>36.573751531280266</v>
      </c>
      <c r="CQ90">
        <f>$AW13-SUM($BE13:CQ13)</f>
        <v>34.556047562325432</v>
      </c>
      <c r="CR90">
        <f>$AW13-SUM($BE13:CR13)</f>
        <v>32.677288162847844</v>
      </c>
      <c r="CS90">
        <f>$AW13-SUM($BE13:CS13)</f>
        <v>30.925949227484921</v>
      </c>
      <c r="CT90">
        <f>$AW13-SUM($BE13:CT13)</f>
        <v>29.291625221496531</v>
      </c>
      <c r="CU90">
        <f>$AW13-SUM($BE13:CU13)</f>
        <v>27.764905070903751</v>
      </c>
      <c r="CV90">
        <f>$AW13-SUM($BE13:CV13)</f>
        <v>26.337263488005192</v>
      </c>
      <c r="CW90">
        <f>$AW13-SUM($BE13:CW13)</f>
        <v>25.000965616503493</v>
      </c>
      <c r="CX90">
        <f>$AW13-SUM($BE13:CX13)</f>
        <v>23.748983195310473</v>
      </c>
      <c r="CY90">
        <f>$AW13-SUM($BE13:CY13)</f>
        <v>22.574920704804242</v>
      </c>
      <c r="CZ90">
        <f>$AW13-SUM($BE13:CZ13)</f>
        <v>21.472950182301133</v>
      </c>
      <c r="DA90">
        <f>$AW13-SUM($BE13:DA13)</f>
        <v>20.437753581728032</v>
      </c>
      <c r="DB90">
        <f>$AW13-SUM($BE13:DB13)</f>
        <v>19.464471711686713</v>
      </c>
      <c r="DC90">
        <f>$AW13-SUM($BE13:DC13)</f>
        <v>18.548658921041692</v>
      </c>
      <c r="DD90">
        <f>$AW13-SUM($BE13:DD13)</f>
        <v>17.686242815770186</v>
      </c>
      <c r="DE90">
        <f>$AW13-SUM($BE13:DE13)</f>
        <v>16.873488388362375</v>
      </c>
      <c r="DF90">
        <f>$AW13-SUM($BE13:DF13)</f>
        <v>16.106966024253325</v>
      </c>
      <c r="DG90">
        <f>$AW13-SUM($BE13:DG13)</f>
        <v>15.383522920867165</v>
      </c>
      <c r="DH90">
        <f>$AW13-SUM($BE13:DH13)</f>
        <v>14.700257515743942</v>
      </c>
      <c r="DI90">
        <f>$AW13-SUM($BE13:DI13)</f>
        <v>14.054496572462654</v>
      </c>
      <c r="DJ90">
        <f>$AW13-SUM($BE13:DJ13)</f>
        <v>13.443774617993824</v>
      </c>
      <c r="DK90">
        <f>$AW13-SUM($BE13:DK13)</f>
        <v>12.865815463808815</v>
      </c>
      <c r="DL90">
        <f>$AW13-SUM($BE13:DL13)</f>
        <v>12.318515576467917</v>
      </c>
      <c r="DM90">
        <f>$AW13-SUM($BE13:DM13)</f>
        <v>11.799929092287186</v>
      </c>
      <c r="DN90">
        <f>$AW13-SUM($BE13:DN13)</f>
        <v>11.308254295695576</v>
      </c>
      <c r="DO90">
        <f>$AW13-SUM($BE13:DO13)</f>
        <v>10.841821402604239</v>
      </c>
      <c r="DP90">
        <f>$AW13-SUM($BE13:DP13)</f>
        <v>10.399081508979748</v>
      </c>
      <c r="DQ90">
        <f>$AW13-SUM($BE13:DQ13)</f>
        <v>9.9785965812473023</v>
      </c>
      <c r="DR90">
        <f>$AW13-SUM($BE13:DR13)</f>
        <v>9.5790303794855163</v>
      </c>
      <c r="DS90">
        <f>$AW13-SUM($BE13:DS13)</f>
        <v>9.1991402168988543</v>
      </c>
      <c r="DT90">
        <f>$AW13-SUM($BE13:DT13)</f>
        <v>8.8377694700171219</v>
      </c>
      <c r="DU90">
        <f>$AW13-SUM($BE13:DU13)</f>
        <v>8.4938407636776674</v>
      </c>
      <c r="DV90">
        <f>$AW13-SUM($BE13:DV13)</f>
        <v>8.1663497632821986</v>
      </c>
      <c r="DW90" s="4">
        <f>$AW13-SUM($BE13:DW13)</f>
        <v>7.8543595142361937</v>
      </c>
    </row>
    <row r="91" spans="1:127" x14ac:dyDescent="0.25">
      <c r="A91" s="21"/>
      <c r="B91" t="s">
        <v>56</v>
      </c>
      <c r="D91"/>
      <c r="BD91">
        <v>1994</v>
      </c>
      <c r="BE91">
        <f>$AW14-SUM($BE14:BE14)</f>
        <v>520.8471066790687</v>
      </c>
      <c r="BF91">
        <f>$AW14-SUM($BE14:BF14)</f>
        <v>520.8471066790687</v>
      </c>
      <c r="BG91">
        <f>$AW14-SUM($BE14:BG14)</f>
        <v>520.8471066790687</v>
      </c>
      <c r="BH91">
        <f>$AW14-SUM($BE14:BH14)</f>
        <v>520.8471066790687</v>
      </c>
      <c r="BI91">
        <f>$AW14-SUM($BE14:BI14)</f>
        <v>514.51216034054085</v>
      </c>
      <c r="BJ91">
        <f>$AW14-SUM($BE14:BJ14)</f>
        <v>487.8049802191909</v>
      </c>
      <c r="BK91">
        <f>$AW14-SUM($BE14:BK14)</f>
        <v>450.43340495217763</v>
      </c>
      <c r="BL91">
        <f>$AW14-SUM($BE14:BL14)</f>
        <v>410.66993852938043</v>
      </c>
      <c r="BM91">
        <f>$AW14-SUM($BE14:BM14)</f>
        <v>372.32138992338139</v>
      </c>
      <c r="BN91">
        <f>$AW14-SUM($BE14:BN14)</f>
        <v>336.89727621167208</v>
      </c>
      <c r="BO91">
        <f>$AW14-SUM($BE14:BO14)</f>
        <v>304.84477886983058</v>
      </c>
      <c r="BP91">
        <f>$AW14-SUM($BE14:BP14)</f>
        <v>276.13558418150683</v>
      </c>
      <c r="BQ91">
        <f>$AW14-SUM($BE14:BQ14)</f>
        <v>250.54091944393952</v>
      </c>
      <c r="BR91">
        <f>$AW14-SUM($BE14:BR14)</f>
        <v>227.76091488983587</v>
      </c>
      <c r="BS91">
        <f>$AW14-SUM($BE14:BS14)</f>
        <v>207.48492026125587</v>
      </c>
      <c r="BT91">
        <f>$AW14-SUM($BE14:BT14)</f>
        <v>189.41851347246222</v>
      </c>
      <c r="BU91">
        <f>$AW14-SUM($BE14:BU14)</f>
        <v>173.2942862417255</v>
      </c>
      <c r="BV91">
        <f>$AW14-SUM($BE14:BV14)</f>
        <v>158.87476924864114</v>
      </c>
      <c r="BW91">
        <f>$AW14-SUM($BE14:BW14)</f>
        <v>145.95166203564287</v>
      </c>
      <c r="BX91">
        <f>$AW14-SUM($BE14:BX14)</f>
        <v>134.34345985267584</v>
      </c>
      <c r="BY91">
        <f>$AW14-SUM($BE14:BY14)</f>
        <v>123.89252410375764</v>
      </c>
      <c r="BZ91">
        <f>$AW14-SUM($BE14:BZ14)</f>
        <v>114.4621079472509</v>
      </c>
      <c r="CA91">
        <f>$AW14-SUM($BE14:CA14)</f>
        <v>105.9335728379142</v>
      </c>
      <c r="CB91">
        <f>$AW14-SUM($BE14:CB14)</f>
        <v>98.203890149248423</v>
      </c>
      <c r="CC91">
        <f>$AW14-SUM($BE14:CC14)</f>
        <v>91.183450569640286</v>
      </c>
      <c r="CD91">
        <f>$AW14-SUM($BE14:CD14)</f>
        <v>84.794169481488439</v>
      </c>
      <c r="CE91">
        <f>$AW14-SUM($BE14:CE14)</f>
        <v>78.967861457026572</v>
      </c>
      <c r="CF91">
        <f>$AW14-SUM($BE14:CF14)</f>
        <v>73.644851975248457</v>
      </c>
      <c r="CG91">
        <f>$AW14-SUM($BE14:CG14)</f>
        <v>68.772794462362526</v>
      </c>
      <c r="CH91">
        <f>$AW14-SUM($BE14:CH14)</f>
        <v>64.305663098445052</v>
      </c>
      <c r="CI91">
        <f>$AW14-SUM($BE14:CI14)</f>
        <v>60.202895095217514</v>
      </c>
      <c r="CJ91">
        <f>$AW14-SUM($BE14:CJ14)</f>
        <v>56.428659602522828</v>
      </c>
      <c r="CK91">
        <f>$AW14-SUM($BE14:CK14)</f>
        <v>52.951233686805608</v>
      </c>
      <c r="CL91">
        <f>$AW14-SUM($BE14:CL14)</f>
        <v>49.742468788058829</v>
      </c>
      <c r="CM91">
        <f>$AW14-SUM($BE14:CM14)</f>
        <v>46.777333652982236</v>
      </c>
      <c r="CN91">
        <f>$AW14-SUM($BE14:CN14)</f>
        <v>44.033521966099215</v>
      </c>
      <c r="CO91">
        <f>$AW14-SUM($BE14:CO14)</f>
        <v>41.491114787005358</v>
      </c>
      <c r="CP91">
        <f>$AW14-SUM($BE14:CP14)</f>
        <v>39.132289490182018</v>
      </c>
      <c r="CQ91">
        <f>$AW14-SUM($BE14:CQ14)</f>
        <v>36.941068234911256</v>
      </c>
      <c r="CR91">
        <f>$AW14-SUM($BE14:CR14)</f>
        <v>34.903100105465683</v>
      </c>
      <c r="CS91">
        <f>$AW14-SUM($BE14:CS14)</f>
        <v>33.005471990566775</v>
      </c>
      <c r="CT91">
        <f>$AW14-SUM($BE14:CT14)</f>
        <v>31.236544046208508</v>
      </c>
      <c r="CU91">
        <f>$AW14-SUM($BE14:CU14)</f>
        <v>29.585806233011112</v>
      </c>
      <c r="CV91">
        <f>$AW14-SUM($BE14:CV14)</f>
        <v>28.043752959902804</v>
      </c>
      <c r="CW91">
        <f>$AW14-SUM($BE14:CW14)</f>
        <v>26.601773318198696</v>
      </c>
      <c r="CX91">
        <f>$AW14-SUM($BE14:CX14)</f>
        <v>25.252054769061317</v>
      </c>
      <c r="CY91">
        <f>$AW14-SUM($BE14:CY14)</f>
        <v>23.987498465324052</v>
      </c>
      <c r="CZ91">
        <f>$AW14-SUM($BE14:CZ14)</f>
        <v>22.801644656021836</v>
      </c>
      <c r="DA91">
        <f>$AW14-SUM($BE14:DA14)</f>
        <v>21.688606847203346</v>
      </c>
      <c r="DB91">
        <f>$AW14-SUM($BE14:DB14)</f>
        <v>20.643013582711092</v>
      </c>
      <c r="DC91">
        <f>$AW14-SUM($BE14:DC14)</f>
        <v>19.659956869421876</v>
      </c>
      <c r="DD91">
        <f>$AW14-SUM($BE14:DD14)</f>
        <v>18.734946407733617</v>
      </c>
      <c r="DE91">
        <f>$AW14-SUM($BE14:DE14)</f>
        <v>17.863868903844718</v>
      </c>
      <c r="DF91">
        <f>$AW14-SUM($BE14:DF14)</f>
        <v>17.042951838899398</v>
      </c>
      <c r="DG91">
        <f>$AW14-SUM($BE14:DG14)</f>
        <v>16.268731154102511</v>
      </c>
      <c r="DH91">
        <f>$AW14-SUM($BE14:DH14)</f>
        <v>15.538022382720158</v>
      </c>
      <c r="DI91">
        <f>$AW14-SUM($BE14:DI14)</f>
        <v>14.847894821383647</v>
      </c>
      <c r="DJ91">
        <f>$AW14-SUM($BE14:DJ14)</f>
        <v>14.19564838588218</v>
      </c>
      <c r="DK91">
        <f>$AW14-SUM($BE14:DK14)</f>
        <v>13.578792842001349</v>
      </c>
      <c r="DL91">
        <f>$AW14-SUM($BE14:DL14)</f>
        <v>12.995029141045507</v>
      </c>
      <c r="DM91">
        <f>$AW14-SUM($BE14:DM14)</f>
        <v>12.442232623413759</v>
      </c>
      <c r="DN91">
        <f>$AW14-SUM($BE14:DN14)</f>
        <v>11.918437882766511</v>
      </c>
      <c r="DO91">
        <f>$AW14-SUM($BE14:DO14)</f>
        <v>11.421825108582198</v>
      </c>
      <c r="DP91">
        <f>$AW14-SUM($BE14:DP14)</f>
        <v>10.950707746832848</v>
      </c>
      <c r="DQ91">
        <f>$AW14-SUM($BE14:DQ14)</f>
        <v>10.503521337565758</v>
      </c>
      <c r="DR91">
        <f>$AW14-SUM($BE14:DR14)</f>
        <v>10.078813404778771</v>
      </c>
      <c r="DS91">
        <f>$AW14-SUM($BE14:DS14)</f>
        <v>9.6752342884547602</v>
      </c>
      <c r="DT91">
        <f>$AW14-SUM($BE14:DT14)</f>
        <v>9.2915288212734026</v>
      </c>
      <c r="DU91">
        <f>$AW14-SUM($BE14:DU14)</f>
        <v>8.9265287635888058</v>
      </c>
      <c r="DV91">
        <f>$AW14-SUM($BE14:DV14)</f>
        <v>8.5791459199675728</v>
      </c>
      <c r="DW91" s="4">
        <f>$AW14-SUM($BE14:DW14)</f>
        <v>8.2483658691000983</v>
      </c>
    </row>
    <row r="92" spans="1:127" x14ac:dyDescent="0.25">
      <c r="D92"/>
      <c r="BD92">
        <v>1995</v>
      </c>
      <c r="BE92">
        <f>$AW15-SUM($BE15:BE15)</f>
        <v>525.90936635004368</v>
      </c>
      <c r="BF92">
        <f>$AW15-SUM($BE15:BF15)</f>
        <v>525.90936635004368</v>
      </c>
      <c r="BG92">
        <f>$AW15-SUM($BE15:BG15)</f>
        <v>525.90936635004368</v>
      </c>
      <c r="BH92">
        <f>$AW15-SUM($BE15:BH15)</f>
        <v>525.90936635004368</v>
      </c>
      <c r="BI92">
        <f>$AW15-SUM($BE15:BI15)</f>
        <v>525.90936635004368</v>
      </c>
      <c r="BJ92">
        <f>$AW15-SUM($BE15:BJ15)</f>
        <v>519.51284888448822</v>
      </c>
      <c r="BK92">
        <f>$AW15-SUM($BE15:BK15)</f>
        <v>492.5460941603036</v>
      </c>
      <c r="BL92">
        <f>$AW15-SUM($BE15:BL15)</f>
        <v>454.81129403154296</v>
      </c>
      <c r="BM92">
        <f>$AW15-SUM($BE15:BM15)</f>
        <v>414.66135528343381</v>
      </c>
      <c r="BN92">
        <f>$AW15-SUM($BE15:BN15)</f>
        <v>375.94008633674525</v>
      </c>
      <c r="BO92">
        <f>$AW15-SUM($BE15:BO15)</f>
        <v>340.17167569043988</v>
      </c>
      <c r="BP92">
        <f>$AW15-SUM($BE15:BP15)</f>
        <v>307.80765110275809</v>
      </c>
      <c r="BQ92">
        <f>$AW15-SUM($BE15:BQ15)</f>
        <v>278.81942366836893</v>
      </c>
      <c r="BR92">
        <f>$AW15-SUM($BE15:BR15)</f>
        <v>252.9759971782035</v>
      </c>
      <c r="BS92">
        <f>$AW15-SUM($BE15:BS15)</f>
        <v>229.9745873462744</v>
      </c>
      <c r="BT92">
        <f>$AW15-SUM($BE15:BT15)</f>
        <v>209.50152461732301</v>
      </c>
      <c r="BU92">
        <f>$AW15-SUM($BE15:BU15)</f>
        <v>191.25952533446815</v>
      </c>
      <c r="BV92">
        <f>$AW15-SUM($BE15:BV15)</f>
        <v>174.97858219960318</v>
      </c>
      <c r="BW92">
        <f>$AW15-SUM($BE15:BW15)</f>
        <v>160.41891786114059</v>
      </c>
      <c r="BX92">
        <f>$AW15-SUM($BE15:BX15)</f>
        <v>147.37020733072126</v>
      </c>
      <c r="BY92">
        <f>$AW15-SUM($BE15:BY15)</f>
        <v>135.64918176252309</v>
      </c>
      <c r="BZ92">
        <f>$AW15-SUM($BE15:BZ15)</f>
        <v>125.09667042666723</v>
      </c>
      <c r="CA92">
        <f>$AW15-SUM($BE15:CA15)</f>
        <v>115.57459740046227</v>
      </c>
      <c r="CB92">
        <f>$AW15-SUM($BE15:CB15)</f>
        <v>106.96317105724358</v>
      </c>
      <c r="CC92">
        <f>$AW15-SUM($BE15:CC15)</f>
        <v>99.158361406284087</v>
      </c>
      <c r="CD92">
        <f>$AW15-SUM($BE15:CD15)</f>
        <v>92.069688197842027</v>
      </c>
      <c r="CE92">
        <f>$AW15-SUM($BE15:CE15)</f>
        <v>85.618307887933327</v>
      </c>
      <c r="CF92">
        <f>$AW15-SUM($BE15:CF15)</f>
        <v>79.735372335422085</v>
      </c>
      <c r="CG92">
        <f>$AW15-SUM($BE15:CG15)</f>
        <v>74.360627025831434</v>
      </c>
      <c r="CH92">
        <f>$AW15-SUM($BE15:CH15)</f>
        <v>69.441216614281245</v>
      </c>
      <c r="CI92">
        <f>$AW15-SUM($BE15:CI15)</f>
        <v>64.930667942945661</v>
      </c>
      <c r="CJ92">
        <f>$AW15-SUM($BE15:CJ15)</f>
        <v>60.78802398238679</v>
      </c>
      <c r="CK92">
        <f>$AW15-SUM($BE15:CK15)</f>
        <v>56.977105632326811</v>
      </c>
      <c r="CL92">
        <f>$AW15-SUM($BE15:CL15)</f>
        <v>53.465881635087783</v>
      </c>
      <c r="CM92">
        <f>$AW15-SUM($BE15:CM15)</f>
        <v>50.225929846882934</v>
      </c>
      <c r="CN92">
        <f>$AW15-SUM($BE15:CN15)</f>
        <v>47.231975728613747</v>
      </c>
      <c r="CO92">
        <f>$AW15-SUM($BE15:CO15)</f>
        <v>44.461496163443314</v>
      </c>
      <c r="CP92">
        <f>$AW15-SUM($BE15:CP15)</f>
        <v>41.894378613177423</v>
      </c>
      <c r="CQ92">
        <f>$AW15-SUM($BE15:CQ15)</f>
        <v>39.512627229182101</v>
      </c>
      <c r="CR92">
        <f>$AW15-SUM($BE15:CR15)</f>
        <v>37.300108877607045</v>
      </c>
      <c r="CS92">
        <f>$AW15-SUM($BE15:CS15)</f>
        <v>35.242333162134514</v>
      </c>
      <c r="CT92">
        <f>$AW15-SUM($BE15:CT15)</f>
        <v>33.32626146532192</v>
      </c>
      <c r="CU92">
        <f>$AW15-SUM($BE15:CU15)</f>
        <v>31.5401408122421</v>
      </c>
      <c r="CV92">
        <f>$AW15-SUM($BE15:CV15)</f>
        <v>29.873359013483594</v>
      </c>
      <c r="CW92">
        <f>$AW15-SUM($BE15:CW15)</f>
        <v>28.316318090458708</v>
      </c>
      <c r="CX92">
        <f>$AW15-SUM($BE15:CX15)</f>
        <v>26.860323442636741</v>
      </c>
      <c r="CY92">
        <f>$AW15-SUM($BE15:CY15)</f>
        <v>25.497486598915657</v>
      </c>
      <c r="CZ92">
        <f>$AW15-SUM($BE15:CZ15)</f>
        <v>24.220639716434675</v>
      </c>
      <c r="DA92">
        <f>$AW15-SUM($BE15:DA15)</f>
        <v>23.023260260090353</v>
      </c>
      <c r="DB92">
        <f>$AW15-SUM($BE15:DB15)</f>
        <v>21.89940452343933</v>
      </c>
      <c r="DC92">
        <f>$AW15-SUM($BE15:DC15)</f>
        <v>20.84364884362941</v>
      </c>
      <c r="DD92">
        <f>$AW15-SUM($BE15:DD15)</f>
        <v>19.85103752537043</v>
      </c>
      <c r="DE92">
        <f>$AW15-SUM($BE15:DE15)</f>
        <v>18.917036626574259</v>
      </c>
      <c r="DF92">
        <f>$AW15-SUM($BE15:DF15)</f>
        <v>18.037492875178771</v>
      </c>
      <c r="DG92">
        <f>$AW15-SUM($BE15:DG15)</f>
        <v>17.208597086155351</v>
      </c>
      <c r="DH92">
        <f>$AW15-SUM($BE15:DH15)</f>
        <v>16.426851532546095</v>
      </c>
      <c r="DI92">
        <f>$AW15-SUM($BE15:DI15)</f>
        <v>15.689040796888321</v>
      </c>
      <c r="DJ92">
        <f>$AW15-SUM($BE15:DJ15)</f>
        <v>14.992205691482184</v>
      </c>
      <c r="DK92">
        <f>$AW15-SUM($BE15:DK15)</f>
        <v>14.333619889238264</v>
      </c>
      <c r="DL92">
        <f>$AW15-SUM($BE15:DL15)</f>
        <v>13.710768952654689</v>
      </c>
      <c r="DM92">
        <f>$AW15-SUM($BE15:DM15)</f>
        <v>13.121331487934299</v>
      </c>
      <c r="DN92">
        <f>$AW15-SUM($BE15:DN15)</f>
        <v>12.563162185311398</v>
      </c>
      <c r="DO92">
        <f>$AW15-SUM($BE15:DO15)</f>
        <v>12.034276536108791</v>
      </c>
      <c r="DP92">
        <f>$AW15-SUM($BE15:DP15)</f>
        <v>11.532837042554092</v>
      </c>
      <c r="DQ92">
        <f>$AW15-SUM($BE15:DQ15)</f>
        <v>11.057140758525748</v>
      </c>
      <c r="DR92">
        <f>$AW15-SUM($BE15:DR15)</f>
        <v>10.605608018644489</v>
      </c>
      <c r="DS92">
        <f>$AW15-SUM($BE15:DS15)</f>
        <v>10.176772229884932</v>
      </c>
      <c r="DT92">
        <f>$AW15-SUM($BE15:DT15)</f>
        <v>9.7692706145043076</v>
      </c>
      <c r="DU92">
        <f>$AW15-SUM($BE15:DU15)</f>
        <v>9.3818358058575768</v>
      </c>
      <c r="DV92">
        <f>$AW15-SUM($BE15:DV15)</f>
        <v>9.0132882098489517</v>
      </c>
      <c r="DW92" s="4">
        <f>$AW15-SUM($BE15:DW15)</f>
        <v>8.6625290545672442</v>
      </c>
    </row>
    <row r="93" spans="1:127" x14ac:dyDescent="0.25">
      <c r="D93"/>
      <c r="BD93">
        <v>1996</v>
      </c>
      <c r="BE93">
        <f>$AW16-SUM($BE16:BE16)</f>
        <v>530.96782665952128</v>
      </c>
      <c r="BF93">
        <f>$AW16-SUM($BE16:BF16)</f>
        <v>530.96782665952128</v>
      </c>
      <c r="BG93">
        <f>$AW16-SUM($BE16:BG16)</f>
        <v>530.96782665952128</v>
      </c>
      <c r="BH93">
        <f>$AW16-SUM($BE16:BH16)</f>
        <v>530.96782665952128</v>
      </c>
      <c r="BI93">
        <f>$AW16-SUM($BE16:BI16)</f>
        <v>530.96782665952128</v>
      </c>
      <c r="BJ93">
        <f>$AW16-SUM($BE16:BJ16)</f>
        <v>530.96782665952128</v>
      </c>
      <c r="BK93">
        <f>$AW16-SUM($BE16:BK16)</f>
        <v>524.50978427771838</v>
      </c>
      <c r="BL93">
        <f>$AW16-SUM($BE16:BL16)</f>
        <v>497.28364976839248</v>
      </c>
      <c r="BM93">
        <f>$AW16-SUM($BE16:BM16)</f>
        <v>459.18589738787375</v>
      </c>
      <c r="BN93">
        <f>$AW16-SUM($BE16:BN16)</f>
        <v>418.64977637228606</v>
      </c>
      <c r="BO93">
        <f>$AW16-SUM($BE16:BO16)</f>
        <v>379.55606682150858</v>
      </c>
      <c r="BP93">
        <f>$AW16-SUM($BE16:BP16)</f>
        <v>343.44361764468005</v>
      </c>
      <c r="BQ93">
        <f>$AW16-SUM($BE16:BQ16)</f>
        <v>310.7682996207015</v>
      </c>
      <c r="BR93">
        <f>$AW16-SUM($BE16:BR16)</f>
        <v>281.50124886179799</v>
      </c>
      <c r="BS93">
        <f>$AW16-SUM($BE16:BS16)</f>
        <v>255.40924732139399</v>
      </c>
      <c r="BT93">
        <f>$AW16-SUM($BE16:BT16)</f>
        <v>232.18659838223169</v>
      </c>
      <c r="BU93">
        <f>$AW16-SUM($BE16:BU16)</f>
        <v>211.51661545779757</v>
      </c>
      <c r="BV93">
        <f>$AW16-SUM($BE16:BV16)</f>
        <v>193.09915546775233</v>
      </c>
      <c r="BW93">
        <f>$AW16-SUM($BE16:BW16)</f>
        <v>176.66161404824345</v>
      </c>
      <c r="BX93">
        <f>$AW16-SUM($BE16:BX16)</f>
        <v>161.9619075487397</v>
      </c>
      <c r="BY93">
        <f>$AW16-SUM($BE16:BY16)</f>
        <v>148.78768796955387</v>
      </c>
      <c r="BZ93">
        <f>$AW16-SUM($BE16:BZ16)</f>
        <v>136.95392369309769</v>
      </c>
      <c r="CA93">
        <f>$AW16-SUM($BE16:CA16)</f>
        <v>126.29991300550336</v>
      </c>
      <c r="CB93">
        <f>$AW16-SUM($BE16:CB16)</f>
        <v>116.68625190053626</v>
      </c>
      <c r="CC93">
        <f>$AW16-SUM($BE16:CC16)</f>
        <v>107.99199653552722</v>
      </c>
      <c r="CD93">
        <f>$AW16-SUM($BE16:CD16)</f>
        <v>100.1121163070718</v>
      </c>
      <c r="CE93">
        <f>$AW16-SUM($BE16:CE16)</f>
        <v>92.955260680962169</v>
      </c>
      <c r="CF93">
        <f>$AW16-SUM($BE16:CF16)</f>
        <v>86.441827756426107</v>
      </c>
      <c r="CG93">
        <f>$AW16-SUM($BE16:CG16)</f>
        <v>80.502307176342242</v>
      </c>
      <c r="CH93">
        <f>$AW16-SUM($BE16:CH16)</f>
        <v>75.075864868063718</v>
      </c>
      <c r="CI93">
        <f>$AW16-SUM($BE16:CI16)</f>
        <v>70.109137097468249</v>
      </c>
      <c r="CJ93">
        <f>$AW16-SUM($BE16:CJ16)</f>
        <v>65.555203704566964</v>
      </c>
      <c r="CK93">
        <f>$AW16-SUM($BE16:CK16)</f>
        <v>61.372713714650899</v>
      </c>
      <c r="CL93">
        <f>$AW16-SUM($BE16:CL16)</f>
        <v>57.525140038692825</v>
      </c>
      <c r="CM93">
        <f>$AW16-SUM($BE16:CM16)</f>
        <v>53.980143326297593</v>
      </c>
      <c r="CN93">
        <f>$AW16-SUM($BE16:CN16)</f>
        <v>50.709028055230647</v>
      </c>
      <c r="CO93">
        <f>$AW16-SUM($BE16:CO16)</f>
        <v>47.686276583187805</v>
      </c>
      <c r="CP93">
        <f>$AW16-SUM($BE16:CP16)</f>
        <v>44.889149154687061</v>
      </c>
      <c r="CQ93">
        <f>$AW16-SUM($BE16:CQ16)</f>
        <v>42.297339779044648</v>
      </c>
      <c r="CR93">
        <f>$AW16-SUM($BE16:CR16)</f>
        <v>39.892679514520012</v>
      </c>
      <c r="CS93">
        <f>$AW16-SUM($BE16:CS16)</f>
        <v>37.658880050682058</v>
      </c>
      <c r="CT93">
        <f>$AW16-SUM($BE16:CT16)</f>
        <v>35.581311615306561</v>
      </c>
      <c r="CU93">
        <f>$AW16-SUM($BE16:CU16)</f>
        <v>33.646810178982548</v>
      </c>
      <c r="CV93">
        <f>$AW16-SUM($BE16:CV16)</f>
        <v>31.843509720769703</v>
      </c>
      <c r="CW93">
        <f>$AW16-SUM($BE16:CW16)</f>
        <v>30.160695977891066</v>
      </c>
      <c r="CX93">
        <f>$AW16-SUM($BE16:CX16)</f>
        <v>28.588678653582406</v>
      </c>
      <c r="CY93">
        <f>$AW16-SUM($BE16:CY16)</f>
        <v>27.118679518280146</v>
      </c>
      <c r="CZ93">
        <f>$AW16-SUM($BE16:CZ16)</f>
        <v>25.74273422560691</v>
      </c>
      <c r="DA93">
        <f>$AW16-SUM($BE16:DA16)</f>
        <v>24.453605988790798</v>
      </c>
      <c r="DB93">
        <f>$AW16-SUM($BE16:DB16)</f>
        <v>23.244709535711195</v>
      </c>
      <c r="DC93">
        <f>$AW16-SUM($BE16:DC16)</f>
        <v>22.110043990372219</v>
      </c>
      <c r="DD93">
        <f>$AW16-SUM($BE16:DD16)</f>
        <v>21.044133522409538</v>
      </c>
      <c r="DE93">
        <f>$AW16-SUM($BE16:DE16)</f>
        <v>20.041974770167769</v>
      </c>
      <c r="DF93">
        <f>$AW16-SUM($BE16:DF16)</f>
        <v>19.09899018182756</v>
      </c>
      <c r="DG93">
        <f>$AW16-SUM($BE16:DG16)</f>
        <v>18.210986537071108</v>
      </c>
      <c r="DH93">
        <f>$AW16-SUM($BE16:DH16)</f>
        <v>17.374118012215717</v>
      </c>
      <c r="DI93">
        <f>$AW16-SUM($BE16:DI16)</f>
        <v>16.584853237409675</v>
      </c>
      <c r="DJ93">
        <f>$AW16-SUM($BE16:DJ16)</f>
        <v>15.839945867690972</v>
      </c>
      <c r="DK93">
        <f>$AW16-SUM($BE16:DK16)</f>
        <v>15.136408252406682</v>
      </c>
      <c r="DL93">
        <f>$AW16-SUM($BE16:DL16)</f>
        <v>14.471487841284898</v>
      </c>
      <c r="DM93">
        <f>$AW16-SUM($BE16:DM16)</f>
        <v>13.842646011701504</v>
      </c>
      <c r="DN93">
        <f>$AW16-SUM($BE16:DN16)</f>
        <v>13.247539041528285</v>
      </c>
      <c r="DO93">
        <f>$AW16-SUM($BE16:DO16)</f>
        <v>12.684000986333331</v>
      </c>
      <c r="DP93">
        <f>$AW16-SUM($BE16:DP16)</f>
        <v>12.150028249438606</v>
      </c>
      <c r="DQ93">
        <f>$AW16-SUM($BE16:DQ16)</f>
        <v>11.643765659095607</v>
      </c>
      <c r="DR93">
        <f>$AW16-SUM($BE16:DR16)</f>
        <v>11.163493889392271</v>
      </c>
      <c r="DS93">
        <f>$AW16-SUM($BE16:DS16)</f>
        <v>10.707618080934481</v>
      </c>
      <c r="DT93">
        <f>$AW16-SUM($BE16:DT16)</f>
        <v>10.27465753426884</v>
      </c>
      <c r="DU93">
        <f>$AW16-SUM($BE16:DU16)</f>
        <v>9.8632363637721028</v>
      </c>
      <c r="DV93">
        <f>$AW16-SUM($BE16:DV16)</f>
        <v>9.4720750126307394</v>
      </c>
      <c r="DW93" s="4">
        <f>$AW16-SUM($BE16:DW16)</f>
        <v>9.0999825408206334</v>
      </c>
    </row>
    <row r="94" spans="1:127" x14ac:dyDescent="0.25">
      <c r="D94"/>
      <c r="BD94">
        <v>1997</v>
      </c>
      <c r="BE94">
        <f>$AW17-SUM($BE17:BE17)</f>
        <v>536.32439701726503</v>
      </c>
      <c r="BF94">
        <f>$AW17-SUM($BE17:BF17)</f>
        <v>536.32439701726503</v>
      </c>
      <c r="BG94">
        <f>$AW17-SUM($BE17:BG17)</f>
        <v>536.32439701726503</v>
      </c>
      <c r="BH94">
        <f>$AW17-SUM($BE17:BH17)</f>
        <v>536.32439701726503</v>
      </c>
      <c r="BI94">
        <f>$AW17-SUM($BE17:BI17)</f>
        <v>536.32439701726503</v>
      </c>
      <c r="BJ94">
        <f>$AW17-SUM($BE17:BJ17)</f>
        <v>536.32439701726503</v>
      </c>
      <c r="BK94">
        <f>$AW17-SUM($BE17:BK17)</f>
        <v>536.32439701726503</v>
      </c>
      <c r="BL94">
        <f>$AW17-SUM($BE17:BL17)</f>
        <v>529.80120387367492</v>
      </c>
      <c r="BM94">
        <f>$AW17-SUM($BE17:BM17)</f>
        <v>502.30040356023397</v>
      </c>
      <c r="BN94">
        <f>$AW17-SUM($BE17:BN17)</f>
        <v>463.81830907676334</v>
      </c>
      <c r="BO94">
        <f>$AW17-SUM($BE17:BO17)</f>
        <v>422.87324692887375</v>
      </c>
      <c r="BP94">
        <f>$AW17-SUM($BE17:BP17)</f>
        <v>383.3851477461078</v>
      </c>
      <c r="BQ94">
        <f>$AW17-SUM($BE17:BQ17)</f>
        <v>346.90838482917366</v>
      </c>
      <c r="BR94">
        <f>$AW17-SUM($BE17:BR17)</f>
        <v>313.90342792470352</v>
      </c>
      <c r="BS94">
        <f>$AW17-SUM($BE17:BS17)</f>
        <v>284.34112195694865</v>
      </c>
      <c r="BT94">
        <f>$AW17-SUM($BE17:BT17)</f>
        <v>257.98589610236195</v>
      </c>
      <c r="BU94">
        <f>$AW17-SUM($BE17:BU17)</f>
        <v>234.52896978010773</v>
      </c>
      <c r="BV94">
        <f>$AW17-SUM($BE17:BV17)</f>
        <v>213.6504615698297</v>
      </c>
      <c r="BW94">
        <f>$AW17-SUM($BE17:BW17)</f>
        <v>195.04720045343697</v>
      </c>
      <c r="BX94">
        <f>$AW17-SUM($BE17:BX17)</f>
        <v>178.44383194855487</v>
      </c>
      <c r="BY94">
        <f>$AW17-SUM($BE17:BY17)</f>
        <v>163.59583018868074</v>
      </c>
      <c r="BZ94">
        <f>$AW17-SUM($BE17:BZ17)</f>
        <v>150.28870494074988</v>
      </c>
      <c r="CA94">
        <f>$AW17-SUM($BE17:CA17)</f>
        <v>138.33555793004672</v>
      </c>
      <c r="CB94">
        <f>$AW17-SUM($BE17:CB17)</f>
        <v>127.57406623329354</v>
      </c>
      <c r="CC94">
        <f>$AW17-SUM($BE17:CC17)</f>
        <v>117.86341949281586</v>
      </c>
      <c r="CD94">
        <f>$AW17-SUM($BE17:CD17)</f>
        <v>109.08145374643806</v>
      </c>
      <c r="CE94">
        <f>$AW17-SUM($BE17:CE17)</f>
        <v>101.12207880900968</v>
      </c>
      <c r="CF94">
        <f>$AW17-SUM($BE17:CF17)</f>
        <v>93.893022573415521</v>
      </c>
      <c r="CG94">
        <f>$AW17-SUM($BE17:CG17)</f>
        <v>87.313880089883753</v>
      </c>
      <c r="CH94">
        <f>$AW17-SUM($BE17:CH17)</f>
        <v>81.314439758958031</v>
      </c>
      <c r="CI94">
        <f>$AW17-SUM($BE17:CI17)</f>
        <v>75.833253794742006</v>
      </c>
      <c r="CJ94">
        <f>$AW17-SUM($BE17:CJ17)</f>
        <v>70.81642011298743</v>
      </c>
      <c r="CK94">
        <f>$AW17-SUM($BE17:CK17)</f>
        <v>66.216545208380921</v>
      </c>
      <c r="CL94">
        <f>$AW17-SUM($BE17:CL17)</f>
        <v>61.991860944581106</v>
      </c>
      <c r="CM94">
        <f>$AW17-SUM($BE17:CM17)</f>
        <v>58.105471735803405</v>
      </c>
      <c r="CN94">
        <f>$AW17-SUM($BE17:CN17)</f>
        <v>54.524711982119243</v>
      </c>
      <c r="CO94">
        <f>$AW17-SUM($BE17:CO17)</f>
        <v>51.220596671844703</v>
      </c>
      <c r="CP94">
        <f>$AW17-SUM($BE17:CP17)</f>
        <v>48.167350732677846</v>
      </c>
      <c r="CQ94">
        <f>$AW17-SUM($BE17:CQ17)</f>
        <v>45.342005003334634</v>
      </c>
      <c r="CR94">
        <f>$AW17-SUM($BE17:CR17)</f>
        <v>42.724048639913633</v>
      </c>
      <c r="CS94">
        <f>$AW17-SUM($BE17:CS17)</f>
        <v>40.295129406678143</v>
      </c>
      <c r="CT94">
        <f>$AW17-SUM($BE17:CT17)</f>
        <v>38.03879467160084</v>
      </c>
      <c r="CU94">
        <f>$AW17-SUM($BE17:CU17)</f>
        <v>35.94026707271604</v>
      </c>
      <c r="CV94">
        <f>$AW17-SUM($BE17:CV17)</f>
        <v>33.986249777745741</v>
      </c>
      <c r="CW94">
        <f>$AW17-SUM($BE17:CW17)</f>
        <v>32.1647570575999</v>
      </c>
      <c r="CX94">
        <f>$AW17-SUM($BE17:CX17)</f>
        <v>30.46496656065051</v>
      </c>
      <c r="CY94">
        <f>$AW17-SUM($BE17:CY17)</f>
        <v>28.877090231373074</v>
      </c>
      <c r="CZ94">
        <f>$AW17-SUM($BE17:CZ17)</f>
        <v>27.392261282664606</v>
      </c>
      <c r="DA94">
        <f>$AW17-SUM($BE17:DA17)</f>
        <v>26.002435021317694</v>
      </c>
      <c r="DB94">
        <f>$AW17-SUM($BE17:DB17)</f>
        <v>24.700301653580368</v>
      </c>
      <c r="DC94">
        <f>$AW17-SUM($BE17:DC17)</f>
        <v>23.47920947303669</v>
      </c>
      <c r="DD94">
        <f>$AW17-SUM($BE17:DD17)</f>
        <v>22.333097064967205</v>
      </c>
      <c r="DE94">
        <f>$AW17-SUM($BE17:DE17)</f>
        <v>21.256433357109358</v>
      </c>
      <c r="DF94">
        <f>$AW17-SUM($BE17:DF17)</f>
        <v>20.244164512322413</v>
      </c>
      <c r="DG94">
        <f>$AW17-SUM($BE17:DG17)</f>
        <v>19.291666799005384</v>
      </c>
      <c r="DH94">
        <f>$AW17-SUM($BE17:DH17)</f>
        <v>18.394704694315465</v>
      </c>
      <c r="DI94">
        <f>$AW17-SUM($BE17:DI17)</f>
        <v>17.549393576691728</v>
      </c>
      <c r="DJ94">
        <f>$AW17-SUM($BE17:DJ17)</f>
        <v>16.752166450713162</v>
      </c>
      <c r="DK94">
        <f>$AW17-SUM($BE17:DK17)</f>
        <v>15.999744221269225</v>
      </c>
      <c r="DL94">
        <f>$AW17-SUM($BE17:DL17)</f>
        <v>15.28910909734816</v>
      </c>
      <c r="DM94">
        <f>$AW17-SUM($BE17:DM17)</f>
        <v>14.617480760085414</v>
      </c>
      <c r="DN94">
        <f>$AW17-SUM($BE17:DN17)</f>
        <v>13.982294976433764</v>
      </c>
      <c r="DO94">
        <f>$AW17-SUM($BE17:DO17)</f>
        <v>13.381184380059381</v>
      </c>
      <c r="DP94">
        <f>$AW17-SUM($BE17:DP17)</f>
        <v>12.811961175801912</v>
      </c>
      <c r="DQ94">
        <f>$AW17-SUM($BE17:DQ17)</f>
        <v>12.27260155407032</v>
      </c>
      <c r="DR94">
        <f>$AW17-SUM($BE17:DR17)</f>
        <v>11.761231627560164</v>
      </c>
      <c r="DS94">
        <f>$AW17-SUM($BE17:DS17)</f>
        <v>11.276114725259163</v>
      </c>
      <c r="DT94">
        <f>$AW17-SUM($BE17:DT17)</f>
        <v>10.815639898330232</v>
      </c>
      <c r="DU94">
        <f>$AW17-SUM($BE17:DU17)</f>
        <v>10.378311509558444</v>
      </c>
      <c r="DV94">
        <f>$AW17-SUM($BE17:DV17)</f>
        <v>9.9627397929536983</v>
      </c>
      <c r="DW94" s="4">
        <f>$AW17-SUM($BE17:DW17)</f>
        <v>9.5676322831310472</v>
      </c>
    </row>
    <row r="95" spans="1:127" x14ac:dyDescent="0.25">
      <c r="D95"/>
      <c r="BD95">
        <v>1998</v>
      </c>
      <c r="BE95">
        <f>$AW18-SUM($BE18:BE18)</f>
        <v>541.40376979546875</v>
      </c>
      <c r="BF95">
        <f>$AW18-SUM($BE18:BF18)</f>
        <v>541.40376979546875</v>
      </c>
      <c r="BG95">
        <f>$AW18-SUM($BE18:BG18)</f>
        <v>541.40376979546875</v>
      </c>
      <c r="BH95">
        <f>$AW18-SUM($BE18:BH18)</f>
        <v>541.40376979546875</v>
      </c>
      <c r="BI95">
        <f>$AW18-SUM($BE18:BI18)</f>
        <v>541.40376979546875</v>
      </c>
      <c r="BJ95">
        <f>$AW18-SUM($BE18:BJ18)</f>
        <v>541.40376979546875</v>
      </c>
      <c r="BK95">
        <f>$AW18-SUM($BE18:BK18)</f>
        <v>541.40376979546875</v>
      </c>
      <c r="BL95">
        <f>$AW18-SUM($BE18:BL18)</f>
        <v>541.40376979546875</v>
      </c>
      <c r="BM95">
        <f>$AW18-SUM($BE18:BM18)</f>
        <v>534.81879738197256</v>
      </c>
      <c r="BN95">
        <f>$AW18-SUM($BE18:BN18)</f>
        <v>507.05754496665497</v>
      </c>
      <c r="BO95">
        <f>$AW18-SUM($BE18:BO18)</f>
        <v>468.21099772986065</v>
      </c>
      <c r="BP95">
        <f>$AW18-SUM($BE18:BP18)</f>
        <v>426.87815677639645</v>
      </c>
      <c r="BQ95">
        <f>$AW18-SUM($BE18:BQ18)</f>
        <v>387.01607726163854</v>
      </c>
      <c r="BR95">
        <f>$AW18-SUM($BE18:BR18)</f>
        <v>350.19385350490722</v>
      </c>
      <c r="BS95">
        <f>$AW18-SUM($BE18:BS18)</f>
        <v>316.87631622822448</v>
      </c>
      <c r="BT95">
        <f>$AW18-SUM($BE18:BT18)</f>
        <v>287.03403423657687</v>
      </c>
      <c r="BU95">
        <f>$AW18-SUM($BE18:BU18)</f>
        <v>260.42920568348586</v>
      </c>
      <c r="BV95">
        <f>$AW18-SUM($BE18:BV18)</f>
        <v>236.75012561681092</v>
      </c>
      <c r="BW95">
        <f>$AW18-SUM($BE18:BW18)</f>
        <v>215.67388311206003</v>
      </c>
      <c r="BX95">
        <f>$AW18-SUM($BE18:BX18)</f>
        <v>196.89443590637893</v>
      </c>
      <c r="BY95">
        <f>$AW18-SUM($BE18:BY18)</f>
        <v>180.13382171496977</v>
      </c>
      <c r="BZ95">
        <f>$AW18-SUM($BE18:BZ18)</f>
        <v>165.14519883778445</v>
      </c>
      <c r="CA95">
        <f>$AW18-SUM($BE18:CA18)</f>
        <v>151.71204566698378</v>
      </c>
      <c r="CB95">
        <f>$AW18-SUM($BE18:CB18)</f>
        <v>139.64569386851093</v>
      </c>
      <c r="CC95">
        <f>$AW18-SUM($BE18:CC18)</f>
        <v>128.78228320577119</v>
      </c>
      <c r="CD95">
        <f>$AW18-SUM($BE18:CD18)</f>
        <v>118.97966974704116</v>
      </c>
      <c r="CE95">
        <f>$AW18-SUM($BE18:CE18)</f>
        <v>110.11453255069881</v>
      </c>
      <c r="CF95">
        <f>$AW18-SUM($BE18:CF18)</f>
        <v>102.07977668222657</v>
      </c>
      <c r="CG95">
        <f>$AW18-SUM($BE18:CG18)</f>
        <v>94.78225615215058</v>
      </c>
      <c r="CH95">
        <f>$AW18-SUM($BE18:CH18)</f>
        <v>88.140804518744915</v>
      </c>
      <c r="CI95">
        <f>$AW18-SUM($BE18:CI18)</f>
        <v>82.084545228862964</v>
      </c>
      <c r="CJ95">
        <f>$AW18-SUM($BE18:CJ18)</f>
        <v>76.551448542453898</v>
      </c>
      <c r="CK95">
        <f>$AW18-SUM($BE18:CK18)</f>
        <v>71.487101884266394</v>
      </c>
      <c r="CL95">
        <f>$AW18-SUM($BE18:CL18)</f>
        <v>66.843662898846958</v>
      </c>
      <c r="CM95">
        <f>$AW18-SUM($BE18:CM18)</f>
        <v>62.578967875951719</v>
      </c>
      <c r="CN95">
        <f>$AW18-SUM($BE18:CN18)</f>
        <v>58.655771802406434</v>
      </c>
      <c r="CO95">
        <f>$AW18-SUM($BE18:CO18)</f>
        <v>55.041099711861818</v>
      </c>
      <c r="CP95">
        <f>$AW18-SUM($BE18:CP18)</f>
        <v>51.705692083996666</v>
      </c>
      <c r="CQ95">
        <f>$AW18-SUM($BE18:CQ18)</f>
        <v>48.623529738276602</v>
      </c>
      <c r="CR95">
        <f>$AW18-SUM($BE18:CR18)</f>
        <v>45.771425979154287</v>
      </c>
      <c r="CS95">
        <f>$AW18-SUM($BE18:CS18)</f>
        <v>43.128675710475875</v>
      </c>
      <c r="CT95">
        <f>$AW18-SUM($BE18:CT18)</f>
        <v>40.6767528878039</v>
      </c>
      <c r="CU95">
        <f>$AW18-SUM($BE18:CU18)</f>
        <v>38.39904906100594</v>
      </c>
      <c r="CV95">
        <f>$AW18-SUM($BE18:CV18)</f>
        <v>36.280646916008095</v>
      </c>
      <c r="CW95">
        <f>$AW18-SUM($BE18:CW18)</f>
        <v>34.308123690091122</v>
      </c>
      <c r="CX95">
        <f>$AW18-SUM($BE18:CX18)</f>
        <v>32.469380140801832</v>
      </c>
      <c r="CY95">
        <f>$AW18-SUM($BE18:CY18)</f>
        <v>30.753491421159424</v>
      </c>
      <c r="CZ95">
        <f>$AW18-SUM($BE18:CZ18)</f>
        <v>29.150576775805121</v>
      </c>
      <c r="DA95">
        <f>$AW18-SUM($BE18:DA18)</f>
        <v>27.651685442867461</v>
      </c>
      <c r="DB95">
        <f>$AW18-SUM($BE18:DB18)</f>
        <v>26.248696540183346</v>
      </c>
      <c r="DC95">
        <f>$AW18-SUM($BE18:DC18)</f>
        <v>24.934231045064848</v>
      </c>
      <c r="DD95">
        <f>$AW18-SUM($BE18:DD18)</f>
        <v>23.701574254714046</v>
      </c>
      <c r="DE95">
        <f>$AW18-SUM($BE18:DE18)</f>
        <v>22.544607348511136</v>
      </c>
      <c r="DF95">
        <f>$AW18-SUM($BE18:DF18)</f>
        <v>21.457746871012773</v>
      </c>
      <c r="DG95">
        <f>$AW18-SUM($BE18:DG18)</f>
        <v>20.43589112165273</v>
      </c>
      <c r="DH95">
        <f>$AW18-SUM($BE18:DH18)</f>
        <v>19.474372578809266</v>
      </c>
      <c r="DI95">
        <f>$AW18-SUM($BE18:DI18)</f>
        <v>18.568915606231599</v>
      </c>
      <c r="DJ95">
        <f>$AW18-SUM($BE18:DJ18)</f>
        <v>17.7155987922348</v>
      </c>
      <c r="DK95">
        <f>$AW18-SUM($BE18:DK18)</f>
        <v>16.91082135941906</v>
      </c>
      <c r="DL95">
        <f>$AW18-SUM($BE18:DL18)</f>
        <v>16.151273157315359</v>
      </c>
      <c r="DM95">
        <f>$AW18-SUM($BE18:DM18)</f>
        <v>15.433907814288546</v>
      </c>
      <c r="DN95">
        <f>$AW18-SUM($BE18:DN18)</f>
        <v>14.755918679880779</v>
      </c>
      <c r="DO95">
        <f>$AW18-SUM($BE18:DO18)</f>
        <v>14.114717235937405</v>
      </c>
      <c r="DP95">
        <f>$AW18-SUM($BE18:DP18)</f>
        <v>13.507913695485058</v>
      </c>
      <c r="DQ95">
        <f>$AW18-SUM($BE18:DQ18)</f>
        <v>12.933299543389921</v>
      </c>
      <c r="DR95">
        <f>$AW18-SUM($BE18:DR18)</f>
        <v>12.388831803147355</v>
      </c>
      <c r="DS95">
        <f>$AW18-SUM($BE18:DS18)</f>
        <v>11.872618840410041</v>
      </c>
      <c r="DT95">
        <f>$AW18-SUM($BE18:DT18)</f>
        <v>11.382907536658195</v>
      </c>
      <c r="DU95">
        <f>$AW18-SUM($BE18:DU18)</f>
        <v>10.91807168622563</v>
      </c>
      <c r="DV95">
        <f>$AW18-SUM($BE18:DV18)</f>
        <v>10.476601487151243</v>
      </c>
      <c r="DW95" s="4">
        <f>$AW18-SUM($BE18:DW18)</f>
        <v>10.057094011374602</v>
      </c>
    </row>
    <row r="96" spans="1:127" x14ac:dyDescent="0.25">
      <c r="D96"/>
      <c r="BD96">
        <v>1999</v>
      </c>
      <c r="BE96">
        <f>$AW19-SUM($BE19:BE19)</f>
        <v>546.69814208857122</v>
      </c>
      <c r="BF96">
        <f>$AW19-SUM($BE19:BF19)</f>
        <v>546.69814208857122</v>
      </c>
      <c r="BG96">
        <f>$AW19-SUM($BE19:BG19)</f>
        <v>546.69814208857122</v>
      </c>
      <c r="BH96">
        <f>$AW19-SUM($BE19:BH19)</f>
        <v>546.69814208857122</v>
      </c>
      <c r="BI96">
        <f>$AW19-SUM($BE19:BI19)</f>
        <v>546.69814208857122</v>
      </c>
      <c r="BJ96">
        <f>$AW19-SUM($BE19:BJ19)</f>
        <v>546.69814208857122</v>
      </c>
      <c r="BK96">
        <f>$AW19-SUM($BE19:BK19)</f>
        <v>546.69814208857122</v>
      </c>
      <c r="BL96">
        <f>$AW19-SUM($BE19:BL19)</f>
        <v>546.69814208857122</v>
      </c>
      <c r="BM96">
        <f>$AW19-SUM($BE19:BM19)</f>
        <v>546.69814208857122</v>
      </c>
      <c r="BN96">
        <f>$AW19-SUM($BE19:BN19)</f>
        <v>540.04877541437372</v>
      </c>
      <c r="BO96">
        <f>$AW19-SUM($BE19:BO19)</f>
        <v>512.01604648963882</v>
      </c>
      <c r="BP96">
        <f>$AW19-SUM($BE19:BP19)</f>
        <v>472.78961995601048</v>
      </c>
      <c r="BQ96">
        <f>$AW19-SUM($BE19:BQ19)</f>
        <v>431.05258630913022</v>
      </c>
      <c r="BR96">
        <f>$AW19-SUM($BE19:BR19)</f>
        <v>390.80069663585027</v>
      </c>
      <c r="BS96">
        <f>$AW19-SUM($BE19:BS19)</f>
        <v>353.61838938486903</v>
      </c>
      <c r="BT96">
        <f>$AW19-SUM($BE19:BT19)</f>
        <v>319.97504084481307</v>
      </c>
      <c r="BU96">
        <f>$AW19-SUM($BE19:BU19)</f>
        <v>289.8409320138378</v>
      </c>
      <c r="BV96">
        <f>$AW19-SUM($BE19:BV19)</f>
        <v>262.97593558787173</v>
      </c>
      <c r="BW96">
        <f>$AW19-SUM($BE19:BW19)</f>
        <v>239.06529846078229</v>
      </c>
      <c r="BX96">
        <f>$AW19-SUM($BE19:BX19)</f>
        <v>217.78295197119581</v>
      </c>
      <c r="BY96">
        <f>$AW19-SUM($BE19:BY19)</f>
        <v>198.81986107754574</v>
      </c>
      <c r="BZ96">
        <f>$AW19-SUM($BE19:BZ19)</f>
        <v>181.8953453096405</v>
      </c>
      <c r="CA96">
        <f>$AW19-SUM($BE19:CA19)</f>
        <v>166.76014910936453</v>
      </c>
      <c r="CB96">
        <f>$AW19-SUM($BE19:CB19)</f>
        <v>153.19563351014313</v>
      </c>
      <c r="CC96">
        <f>$AW19-SUM($BE19:CC19)</f>
        <v>141.01128519556772</v>
      </c>
      <c r="CD96">
        <f>$AW19-SUM($BE19:CD19)</f>
        <v>130.04164154438178</v>
      </c>
      <c r="CE96">
        <f>$AW19-SUM($BE19:CE19)</f>
        <v>120.1431686033369</v>
      </c>
      <c r="CF96">
        <f>$AW19-SUM($BE19:CF19)</f>
        <v>111.19133947877879</v>
      </c>
      <c r="CG96">
        <f>$AW19-SUM($BE19:CG19)</f>
        <v>103.07801195782628</v>
      </c>
      <c r="CH96">
        <f>$AW19-SUM($BE19:CH19)</f>
        <v>95.709129178984711</v>
      </c>
      <c r="CI96">
        <f>$AW19-SUM($BE19:CI19)</f>
        <v>89.002730976169005</v>
      </c>
      <c r="CJ96">
        <f>$AW19-SUM($BE19:CJ19)</f>
        <v>82.887247696405495</v>
      </c>
      <c r="CK96">
        <f>$AW19-SUM($BE19:CK19)</f>
        <v>77.300043012553715</v>
      </c>
      <c r="CL96">
        <f>$AW19-SUM($BE19:CL19)</f>
        <v>72.186172250313689</v>
      </c>
      <c r="CM96">
        <f>$AW19-SUM($BE19:CM19)</f>
        <v>67.497325205178697</v>
      </c>
      <c r="CN96">
        <f>$AW19-SUM($BE19:CN19)</f>
        <v>63.190925849163875</v>
      </c>
      <c r="CO96">
        <f>$AW19-SUM($BE19:CO19)</f>
        <v>59.229364951154878</v>
      </c>
      <c r="CP96">
        <f>$AW19-SUM($BE19:CP19)</f>
        <v>55.579345083530541</v>
      </c>
      <c r="CQ96">
        <f>$AW19-SUM($BE19:CQ19)</f>
        <v>52.211320597940414</v>
      </c>
      <c r="CR96">
        <f>$AW19-SUM($BE19:CR19)</f>
        <v>49.09901787301277</v>
      </c>
      <c r="CS96">
        <f>$AW19-SUM($BE19:CS19)</f>
        <v>46.219023471154344</v>
      </c>
      <c r="CT96">
        <f>$AW19-SUM($BE19:CT19)</f>
        <v>43.550429821656166</v>
      </c>
      <c r="CU96">
        <f>$AW19-SUM($BE19:CU19)</f>
        <v>41.074529714411369</v>
      </c>
      <c r="CV96">
        <f>$AW19-SUM($BE19:CV19)</f>
        <v>38.774552285719153</v>
      </c>
      <c r="CW96">
        <f>$AW19-SUM($BE19:CW19)</f>
        <v>36.635434345509225</v>
      </c>
      <c r="CX96">
        <f>$AW19-SUM($BE19:CX19)</f>
        <v>34.643621870241873</v>
      </c>
      <c r="CY96">
        <f>$AW19-SUM($BE19:CY19)</f>
        <v>32.786897299311136</v>
      </c>
      <c r="CZ96">
        <f>$AW19-SUM($BE19:CZ19)</f>
        <v>31.054228951963637</v>
      </c>
      <c r="DA96">
        <f>$AW19-SUM($BE19:DA19)</f>
        <v>29.435639449210839</v>
      </c>
      <c r="DB96">
        <f>$AW19-SUM($BE19:DB19)</f>
        <v>27.922090499931642</v>
      </c>
      <c r="DC96">
        <f>$AW19-SUM($BE19:DC19)</f>
        <v>26.505381808084053</v>
      </c>
      <c r="DD96">
        <f>$AW19-SUM($BE19:DD19)</f>
        <v>25.178062191723939</v>
      </c>
      <c r="DE96">
        <f>$AW19-SUM($BE19:DE19)</f>
        <v>23.933351285162985</v>
      </c>
      <c r="DF96">
        <f>$AW19-SUM($BE19:DF19)</f>
        <v>22.765070432005928</v>
      </c>
      <c r="DG96">
        <f>$AW19-SUM($BE19:DG19)</f>
        <v>21.667581576355133</v>
      </c>
      <c r="DH96">
        <f>$AW19-SUM($BE19:DH19)</f>
        <v>20.635733128257584</v>
      </c>
      <c r="DI96">
        <f>$AW19-SUM($BE19:DI19)</f>
        <v>19.664811922528315</v>
      </c>
      <c r="DJ96">
        <f>$AW19-SUM($BE19:DJ19)</f>
        <v>18.750500511589394</v>
      </c>
      <c r="DK96">
        <f>$AW19-SUM($BE19:DK19)</f>
        <v>17.888839136380966</v>
      </c>
      <c r="DL96">
        <f>$AW19-SUM($BE19:DL19)</f>
        <v>17.076191807601958</v>
      </c>
      <c r="DM96">
        <f>$AW19-SUM($BE19:DM19)</f>
        <v>16.309216004914674</v>
      </c>
      <c r="DN96">
        <f>$AW19-SUM($BE19:DN19)</f>
        <v>15.584835566301081</v>
      </c>
      <c r="DO96">
        <f>$AW19-SUM($BE19:DO19)</f>
        <v>14.90021639514714</v>
      </c>
      <c r="DP96">
        <f>$AW19-SUM($BE19:DP19)</f>
        <v>14.252744660251892</v>
      </c>
      <c r="DQ96">
        <f>$AW19-SUM($BE19:DQ19)</f>
        <v>13.640007204981885</v>
      </c>
      <c r="DR96">
        <f>$AW19-SUM($BE19:DR19)</f>
        <v>13.059773917195798</v>
      </c>
      <c r="DS96">
        <f>$AW19-SUM($BE19:DS19)</f>
        <v>12.509981842178945</v>
      </c>
      <c r="DT96">
        <f>$AW19-SUM($BE19:DT19)</f>
        <v>11.98872084734478</v>
      </c>
      <c r="DU96">
        <f>$AW19-SUM($BE19:DU19)</f>
        <v>11.494220670476693</v>
      </c>
      <c r="DV96">
        <f>$AW19-SUM($BE19:DV19)</f>
        <v>11.02483920328882</v>
      </c>
      <c r="DW96" s="4">
        <f>$AW19-SUM($BE19:DW19)</f>
        <v>10.579051879509052</v>
      </c>
    </row>
    <row r="97" spans="4:127" x14ac:dyDescent="0.25">
      <c r="D97"/>
      <c r="BD97">
        <v>2000</v>
      </c>
      <c r="BE97">
        <f>$AW20-SUM($BE20:BE20)</f>
        <v>549.58687992479997</v>
      </c>
      <c r="BF97">
        <f>$AW20-SUM($BE20:BF20)</f>
        <v>549.58687992479997</v>
      </c>
      <c r="BG97">
        <f>$AW20-SUM($BE20:BG20)</f>
        <v>549.58687992479997</v>
      </c>
      <c r="BH97">
        <f>$AW20-SUM($BE20:BH20)</f>
        <v>549.58687992479997</v>
      </c>
      <c r="BI97">
        <f>$AW20-SUM($BE20:BI20)</f>
        <v>549.58687992479997</v>
      </c>
      <c r="BJ97">
        <f>$AW20-SUM($BE20:BJ20)</f>
        <v>549.58687992479997</v>
      </c>
      <c r="BK97">
        <f>$AW20-SUM($BE20:BK20)</f>
        <v>549.58687992479997</v>
      </c>
      <c r="BL97">
        <f>$AW20-SUM($BE20:BL20)</f>
        <v>549.58687992479997</v>
      </c>
      <c r="BM97">
        <f>$AW20-SUM($BE20:BM20)</f>
        <v>549.58687992479997</v>
      </c>
      <c r="BN97">
        <f>$AW20-SUM($BE20:BN20)</f>
        <v>549.58687992479997</v>
      </c>
      <c r="BO97">
        <f>$AW20-SUM($BE20:BO20)</f>
        <v>542.90237818132039</v>
      </c>
      <c r="BP97">
        <f>$AW20-SUM($BE20:BP20)</f>
        <v>514.72152509360899</v>
      </c>
      <c r="BQ97">
        <f>$AW20-SUM($BE20:BQ20)</f>
        <v>475.28782720896629</v>
      </c>
      <c r="BR97">
        <f>$AW20-SUM($BE20:BR20)</f>
        <v>433.33025623264302</v>
      </c>
      <c r="BS97">
        <f>$AW20-SUM($BE20:BS20)</f>
        <v>392.86567668952978</v>
      </c>
      <c r="BT97">
        <f>$AW20-SUM($BE20:BT20)</f>
        <v>355.48689915719024</v>
      </c>
      <c r="BU97">
        <f>$AW20-SUM($BE20:BU20)</f>
        <v>321.66578009555576</v>
      </c>
      <c r="BV97">
        <f>$AW20-SUM($BE20:BV20)</f>
        <v>291.37244346839935</v>
      </c>
      <c r="BW97">
        <f>$AW20-SUM($BE20:BW20)</f>
        <v>264.36549314562774</v>
      </c>
      <c r="BX97">
        <f>$AW20-SUM($BE20:BX20)</f>
        <v>240.32851287441588</v>
      </c>
      <c r="BY97">
        <f>$AW20-SUM($BE20:BY20)</f>
        <v>218.93371105561732</v>
      </c>
      <c r="BZ97">
        <f>$AW20-SUM($BE20:BZ20)</f>
        <v>199.8704197150679</v>
      </c>
      <c r="CA97">
        <f>$AW20-SUM($BE20:CA20)</f>
        <v>182.85647527474794</v>
      </c>
      <c r="CB97">
        <f>$AW20-SUM($BE20:CB20)</f>
        <v>167.64130511707845</v>
      </c>
      <c r="CC97">
        <f>$AW20-SUM($BE20:CC20)</f>
        <v>154.00511499324296</v>
      </c>
      <c r="CD97">
        <f>$AW20-SUM($BE20:CD20)</f>
        <v>141.75638491974729</v>
      </c>
      <c r="CE97">
        <f>$AW20-SUM($BE20:CE20)</f>
        <v>130.72877797542839</v>
      </c>
      <c r="CF97">
        <f>$AW20-SUM($BE20:CF20)</f>
        <v>120.7780017776056</v>
      </c>
      <c r="CG97">
        <f>$AW20-SUM($BE20:CG20)</f>
        <v>111.77887143596854</v>
      </c>
      <c r="CH97">
        <f>$AW20-SUM($BE20:CH20)</f>
        <v>103.62267331717942</v>
      </c>
      <c r="CI97">
        <f>$AW20-SUM($BE20:CI20)</f>
        <v>96.21485356589335</v>
      </c>
      <c r="CJ97">
        <f>$AW20-SUM($BE20:CJ20)</f>
        <v>89.473018940778331</v>
      </c>
      <c r="CK97">
        <f>$AW20-SUM($BE20:CK20)</f>
        <v>83.325221616797307</v>
      </c>
      <c r="CL97">
        <f>$AW20-SUM($BE20:CL20)</f>
        <v>77.708494298192591</v>
      </c>
      <c r="CM97">
        <f>$AW20-SUM($BE20:CM20)</f>
        <v>72.567601984527471</v>
      </c>
      <c r="CN97">
        <f>$AW20-SUM($BE20:CN20)</f>
        <v>67.853979201513027</v>
      </c>
      <c r="CO97">
        <f>$AW20-SUM($BE20:CO20)</f>
        <v>63.524824950612128</v>
      </c>
      <c r="CP97">
        <f>$AW20-SUM($BE20:CP20)</f>
        <v>59.542331274575247</v>
      </c>
      <c r="CQ97">
        <f>$AW20-SUM($BE20:CQ20)</f>
        <v>55.8730248030962</v>
      </c>
      <c r="CR97">
        <f>$AW20-SUM($BE20:CR20)</f>
        <v>52.487203769437144</v>
      </c>
      <c r="CS97">
        <f>$AW20-SUM($BE20:CS20)</f>
        <v>49.358455723139059</v>
      </c>
      <c r="CT97">
        <f>$AW20-SUM($BE20:CT20)</f>
        <v>46.463243510653001</v>
      </c>
      <c r="CU97">
        <f>$AW20-SUM($BE20:CU20)</f>
        <v>43.780549086245742</v>
      </c>
      <c r="CV97">
        <f>$AW20-SUM($BE20:CV20)</f>
        <v>41.291566391430422</v>
      </c>
      <c r="CW97">
        <f>$AW20-SUM($BE20:CW20)</f>
        <v>38.979435945727118</v>
      </c>
      <c r="CX97">
        <f>$AW20-SUM($BE20:CX20)</f>
        <v>36.829014965586566</v>
      </c>
      <c r="CY97">
        <f>$AW20-SUM($BE20:CY20)</f>
        <v>34.826677808384147</v>
      </c>
      <c r="CZ97">
        <f>$AW20-SUM($BE20:CZ20)</f>
        <v>32.960142356262168</v>
      </c>
      <c r="DA97">
        <f>$AW20-SUM($BE20:DA20)</f>
        <v>31.218318637371794</v>
      </c>
      <c r="DB97">
        <f>$AW20-SUM($BE20:DB20)</f>
        <v>29.591176552530328</v>
      </c>
      <c r="DC97">
        <f>$AW20-SUM($BE20:DC20)</f>
        <v>28.069630052536922</v>
      </c>
      <c r="DD97">
        <f>$AW20-SUM($BE20:DD20)</f>
        <v>26.645435511212327</v>
      </c>
      <c r="DE97">
        <f>$AW20-SUM($BE20:DE20)</f>
        <v>25.311102374773441</v>
      </c>
      <c r="DF97">
        <f>$AW20-SUM($BE20:DF20)</f>
        <v>24.059814450267595</v>
      </c>
      <c r="DG97">
        <f>$AW20-SUM($BE20:DG20)</f>
        <v>22.885360433450387</v>
      </c>
      <c r="DH97">
        <f>$AW20-SUM($BE20:DH20)</f>
        <v>21.782072477092811</v>
      </c>
      <c r="DI97">
        <f>$AW20-SUM($BE20:DI20)</f>
        <v>20.744771770383409</v>
      </c>
      <c r="DJ97">
        <f>$AW20-SUM($BE20:DJ20)</f>
        <v>19.768720243902862</v>
      </c>
      <c r="DK97">
        <f>$AW20-SUM($BE20:DK20)</f>
        <v>18.84957763679995</v>
      </c>
      <c r="DL97">
        <f>$AW20-SUM($BE20:DL20)</f>
        <v>17.983363266757692</v>
      </c>
      <c r="DM97">
        <f>$AW20-SUM($BE20:DM20)</f>
        <v>17.166421932008348</v>
      </c>
      <c r="DN97">
        <f>$AW20-SUM($BE20:DN20)</f>
        <v>16.395393450429083</v>
      </c>
      <c r="DO97">
        <f>$AW20-SUM($BE20:DO20)</f>
        <v>15.667185405647274</v>
      </c>
      <c r="DP97">
        <f>$AW20-SUM($BE20:DP20)</f>
        <v>14.978948725760688</v>
      </c>
      <c r="DQ97">
        <f>$AW20-SUM($BE20:DQ20)</f>
        <v>14.328055768156787</v>
      </c>
      <c r="DR97">
        <f>$AW20-SUM($BE20:DR20)</f>
        <v>13.71208062514927</v>
      </c>
      <c r="DS97">
        <f>$AW20-SUM($BE20:DS20)</f>
        <v>13.128781400746107</v>
      </c>
      <c r="DT97">
        <f>$AW20-SUM($BE20:DT20)</f>
        <v>12.576084239637112</v>
      </c>
      <c r="DU97">
        <f>$AW20-SUM($BE20:DU20)</f>
        <v>12.052068916148073</v>
      </c>
      <c r="DV97">
        <f>$AW20-SUM($BE20:DV20)</f>
        <v>11.554955814045798</v>
      </c>
      <c r="DW97" s="4">
        <f>$AW20-SUM($BE20:DW20)</f>
        <v>11.08309414818973</v>
      </c>
    </row>
    <row r="98" spans="4:127" x14ac:dyDescent="0.25">
      <c r="D98"/>
      <c r="BD98">
        <v>2001</v>
      </c>
      <c r="BE98">
        <f>$AW21-SUM($BE21:BE21)</f>
        <v>573.6128021131201</v>
      </c>
      <c r="BF98">
        <f>$AW21-SUM($BE21:BF21)</f>
        <v>573.6128021131201</v>
      </c>
      <c r="BG98">
        <f>$AW21-SUM($BE21:BG21)</f>
        <v>573.6128021131201</v>
      </c>
      <c r="BH98">
        <f>$AW21-SUM($BE21:BH21)</f>
        <v>573.6128021131201</v>
      </c>
      <c r="BI98">
        <f>$AW21-SUM($BE21:BI21)</f>
        <v>573.6128021131201</v>
      </c>
      <c r="BJ98">
        <f>$AW21-SUM($BE21:BJ21)</f>
        <v>573.6128021131201</v>
      </c>
      <c r="BK98">
        <f>$AW21-SUM($BE21:BK21)</f>
        <v>573.6128021131201</v>
      </c>
      <c r="BL98">
        <f>$AW21-SUM($BE21:BL21)</f>
        <v>573.6128021131201</v>
      </c>
      <c r="BM98">
        <f>$AW21-SUM($BE21:BM21)</f>
        <v>573.6128021131201</v>
      </c>
      <c r="BN98">
        <f>$AW21-SUM($BE21:BN21)</f>
        <v>573.6128021131201</v>
      </c>
      <c r="BO98">
        <f>$AW21-SUM($BE21:BO21)</f>
        <v>573.6128021131201</v>
      </c>
      <c r="BP98">
        <f>$AW21-SUM($BE21:BP21)</f>
        <v>566.63607847602736</v>
      </c>
      <c r="BQ98">
        <f>$AW21-SUM($BE21:BQ21)</f>
        <v>537.22326187496128</v>
      </c>
      <c r="BR98">
        <f>$AW21-SUM($BE21:BR21)</f>
        <v>496.0656673843738</v>
      </c>
      <c r="BS98">
        <f>$AW21-SUM($BE21:BS21)</f>
        <v>452.27386532956115</v>
      </c>
      <c r="BT98">
        <f>$AW21-SUM($BE21:BT21)</f>
        <v>410.04032281626394</v>
      </c>
      <c r="BU98">
        <f>$AW21-SUM($BE21:BU21)</f>
        <v>371.02748225714799</v>
      </c>
      <c r="BV98">
        <f>$AW21-SUM($BE21:BV21)</f>
        <v>335.72782794553098</v>
      </c>
      <c r="BW98">
        <f>$AW21-SUM($BE21:BW21)</f>
        <v>304.11017777448455</v>
      </c>
      <c r="BX98">
        <f>$AW21-SUM($BE21:BX21)</f>
        <v>275.92258266068819</v>
      </c>
      <c r="BY98">
        <f>$AW21-SUM($BE21:BY21)</f>
        <v>250.83479379354088</v>
      </c>
      <c r="BZ98">
        <f>$AW21-SUM($BE21:BZ21)</f>
        <v>228.50468972771034</v>
      </c>
      <c r="CA98">
        <f>$AW21-SUM($BE21:CA21)</f>
        <v>208.60802122491134</v>
      </c>
      <c r="CB98">
        <f>$AW21-SUM($BE21:CB21)</f>
        <v>190.85028955063217</v>
      </c>
      <c r="CC98">
        <f>$AW21-SUM($BE21:CC21)</f>
        <v>174.96996797169834</v>
      </c>
      <c r="CD98">
        <f>$AW21-SUM($BE21:CD21)</f>
        <v>160.73765364106731</v>
      </c>
      <c r="CE98">
        <f>$AW21-SUM($BE21:CE21)</f>
        <v>147.9534540241724</v>
      </c>
      <c r="CF98">
        <f>$AW21-SUM($BE21:CF21)</f>
        <v>136.44376055987721</v>
      </c>
      <c r="CG98">
        <f>$AW21-SUM($BE21:CG21)</f>
        <v>126.057972931878</v>
      </c>
      <c r="CH98">
        <f>$AW21-SUM($BE21:CH21)</f>
        <v>116.66543362571053</v>
      </c>
      <c r="CI98">
        <f>$AW21-SUM($BE21:CI21)</f>
        <v>108.15267644681182</v>
      </c>
      <c r="CJ98">
        <f>$AW21-SUM($BE21:CJ21)</f>
        <v>100.42101399215943</v>
      </c>
      <c r="CK98">
        <f>$AW21-SUM($BE21:CK21)</f>
        <v>93.384451090176356</v>
      </c>
      <c r="CL98">
        <f>$AW21-SUM($BE21:CL21)</f>
        <v>86.967894620861045</v>
      </c>
      <c r="CM98">
        <f>$AW21-SUM($BE21:CM21)</f>
        <v>81.105624589285696</v>
      </c>
      <c r="CN98">
        <f>$AW21-SUM($BE21:CN21)</f>
        <v>75.739991323428342</v>
      </c>
      <c r="CO98">
        <f>$AW21-SUM($BE21:CO21)</f>
        <v>70.820306244630387</v>
      </c>
      <c r="CP98">
        <f>$AW21-SUM($BE21:CP21)</f>
        <v>66.301897251717435</v>
      </c>
      <c r="CQ98">
        <f>$AW21-SUM($BE21:CQ21)</f>
        <v>62.145303562250376</v>
      </c>
      <c r="CR98">
        <f>$AW21-SUM($BE21:CR21)</f>
        <v>58.315588472972991</v>
      </c>
      <c r="CS98">
        <f>$AW21-SUM($BE21:CS21)</f>
        <v>54.781751764868773</v>
      </c>
      <c r="CT98">
        <f>$AW21-SUM($BE21:CT21)</f>
        <v>51.516226332040787</v>
      </c>
      <c r="CU98">
        <f>$AW21-SUM($BE21:CU21)</f>
        <v>48.494446062934912</v>
      </c>
      <c r="CV98">
        <f>$AW21-SUM($BE21:CV21)</f>
        <v>45.694474079964607</v>
      </c>
      <c r="CW98">
        <f>$AW21-SUM($BE21:CW21)</f>
        <v>43.096682192757498</v>
      </c>
      <c r="CX98">
        <f>$AW21-SUM($BE21:CX21)</f>
        <v>40.683473886197476</v>
      </c>
      <c r="CY98">
        <f>$AW21-SUM($BE21:CY21)</f>
        <v>38.439044389790865</v>
      </c>
      <c r="CZ98">
        <f>$AW21-SUM($BE21:CZ21)</f>
        <v>36.349172397804409</v>
      </c>
      <c r="DA98">
        <f>$AW21-SUM($BE21:DA21)</f>
        <v>34.40103886324539</v>
      </c>
      <c r="DB98">
        <f>$AW21-SUM($BE21:DB21)</f>
        <v>32.583069001380181</v>
      </c>
      <c r="DC98">
        <f>$AW21-SUM($BE21:DC21)</f>
        <v>30.884794233886055</v>
      </c>
      <c r="DD98">
        <f>$AW21-SUM($BE21:DD21)</f>
        <v>29.2967313028239</v>
      </c>
      <c r="DE98">
        <f>$AW21-SUM($BE21:DE21)</f>
        <v>27.810276200920384</v>
      </c>
      <c r="DF98">
        <f>$AW21-SUM($BE21:DF21)</f>
        <v>26.417610914860802</v>
      </c>
      <c r="DG98">
        <f>$AW21-SUM($BE21:DG21)</f>
        <v>25.111621272742127</v>
      </c>
      <c r="DH98">
        <f>$AW21-SUM($BE21:DH21)</f>
        <v>23.88582443488508</v>
      </c>
      <c r="DI98">
        <f>$AW21-SUM($BE21:DI21)</f>
        <v>22.734304776572799</v>
      </c>
      <c r="DJ98">
        <f>$AW21-SUM($BE21:DJ21)</f>
        <v>21.651657088383899</v>
      </c>
      <c r="DK98">
        <f>$AW21-SUM($BE21:DK21)</f>
        <v>20.632936169886193</v>
      </c>
      <c r="DL98">
        <f>$AW21-SUM($BE21:DL21)</f>
        <v>19.673612019946518</v>
      </c>
      <c r="DM98">
        <f>$AW21-SUM($BE21:DM21)</f>
        <v>18.769529935420451</v>
      </c>
      <c r="DN98">
        <f>$AW21-SUM($BE21:DN21)</f>
        <v>17.916874922528336</v>
      </c>
      <c r="DO98">
        <f>$AW21-SUM($BE21:DO21)</f>
        <v>17.11213990431213</v>
      </c>
      <c r="DP98">
        <f>$AW21-SUM($BE21:DP21)</f>
        <v>16.352097275300025</v>
      </c>
      <c r="DQ98">
        <f>$AW21-SUM($BE21:DQ21)</f>
        <v>15.633773412618325</v>
      </c>
      <c r="DR98">
        <f>$AW21-SUM($BE21:DR21)</f>
        <v>14.954425802759147</v>
      </c>
      <c r="DS98">
        <f>$AW21-SUM($BE21:DS21)</f>
        <v>14.311522486251874</v>
      </c>
      <c r="DT98">
        <f>$AW21-SUM($BE21:DT21)</f>
        <v>13.702723559636183</v>
      </c>
      <c r="DU98">
        <f>$AW21-SUM($BE21:DU21)</f>
        <v>13.12586450625588</v>
      </c>
      <c r="DV98">
        <f>$AW21-SUM($BE21:DV21)</f>
        <v>12.578941155214693</v>
      </c>
      <c r="DW98" s="4">
        <f>$AW21-SUM($BE21:DW21)</f>
        <v>12.060096091986338</v>
      </c>
    </row>
    <row r="99" spans="4:127" x14ac:dyDescent="0.25">
      <c r="D99"/>
      <c r="BD99">
        <v>2002</v>
      </c>
      <c r="BE99">
        <f>$AW22-SUM($BE22:BE22)</f>
        <v>640.40142128188245</v>
      </c>
      <c r="BF99">
        <f>$AW22-SUM($BE22:BF22)</f>
        <v>640.40142128188245</v>
      </c>
      <c r="BG99">
        <f>$AW22-SUM($BE22:BG22)</f>
        <v>640.40142128188245</v>
      </c>
      <c r="BH99">
        <f>$AW22-SUM($BE22:BH22)</f>
        <v>640.40142128188245</v>
      </c>
      <c r="BI99">
        <f>$AW22-SUM($BE22:BI22)</f>
        <v>640.40142128188245</v>
      </c>
      <c r="BJ99">
        <f>$AW22-SUM($BE22:BJ22)</f>
        <v>640.40142128188245</v>
      </c>
      <c r="BK99">
        <f>$AW22-SUM($BE22:BK22)</f>
        <v>640.40142128188245</v>
      </c>
      <c r="BL99">
        <f>$AW22-SUM($BE22:BL22)</f>
        <v>640.40142128188245</v>
      </c>
      <c r="BM99">
        <f>$AW22-SUM($BE22:BM22)</f>
        <v>640.40142128188245</v>
      </c>
      <c r="BN99">
        <f>$AW22-SUM($BE22:BN22)</f>
        <v>640.40142128188245</v>
      </c>
      <c r="BO99">
        <f>$AW22-SUM($BE22:BO22)</f>
        <v>640.40142128188245</v>
      </c>
      <c r="BP99">
        <f>$AW22-SUM($BE22:BP22)</f>
        <v>640.40142128188245</v>
      </c>
      <c r="BQ99">
        <f>$AW22-SUM($BE22:BQ22)</f>
        <v>632.6123626754046</v>
      </c>
      <c r="BR99">
        <f>$AW22-SUM($BE22:BR22)</f>
        <v>599.77486412963208</v>
      </c>
      <c r="BS99">
        <f>$AW22-SUM($BE22:BS22)</f>
        <v>553.82508422371257</v>
      </c>
      <c r="BT99">
        <f>$AW22-SUM($BE22:BT22)</f>
        <v>504.9343827381723</v>
      </c>
      <c r="BU99">
        <f>$AW22-SUM($BE22:BU22)</f>
        <v>457.78337677796947</v>
      </c>
      <c r="BV99">
        <f>$AW22-SUM($BE22:BV22)</f>
        <v>414.22807527447492</v>
      </c>
      <c r="BW99">
        <f>$AW22-SUM($BE22:BW22)</f>
        <v>374.81830494047767</v>
      </c>
      <c r="BX99">
        <f>$AW22-SUM($BE22:BX22)</f>
        <v>339.5192529797468</v>
      </c>
      <c r="BY99">
        <f>$AW22-SUM($BE22:BY22)</f>
        <v>308.04963461193086</v>
      </c>
      <c r="BZ99">
        <f>$AW22-SUM($BE22:BZ22)</f>
        <v>280.04074849893829</v>
      </c>
      <c r="CA99">
        <f>$AW22-SUM($BE22:CA22)</f>
        <v>255.11063827746153</v>
      </c>
      <c r="CB99">
        <f>$AW22-SUM($BE22:CB22)</f>
        <v>232.89730074205875</v>
      </c>
      <c r="CC99">
        <f>$AW22-SUM($BE22:CC22)</f>
        <v>213.07194719161964</v>
      </c>
      <c r="CD99">
        <f>$AW22-SUM($BE22:CD22)</f>
        <v>195.3426000220685</v>
      </c>
      <c r="CE99">
        <f>$AW22-SUM($BE22:CE22)</f>
        <v>179.45314586084635</v>
      </c>
      <c r="CF99">
        <f>$AW22-SUM($BE22:CF22)</f>
        <v>165.18041768174919</v>
      </c>
      <c r="CG99">
        <f>$AW22-SUM($BE22:CG22)</f>
        <v>152.33059280702497</v>
      </c>
      <c r="CH99">
        <f>$AW22-SUM($BE22:CH22)</f>
        <v>140.7355357692449</v>
      </c>
      <c r="CI99">
        <f>$AW22-SUM($BE22:CI22)</f>
        <v>130.24937594338837</v>
      </c>
      <c r="CJ99">
        <f>$AW22-SUM($BE22:CJ22)</f>
        <v>120.74543569604498</v>
      </c>
      <c r="CK99">
        <f>$AW22-SUM($BE22:CK22)</f>
        <v>112.11353695426146</v>
      </c>
      <c r="CL99">
        <f>$AW22-SUM($BE22:CL22)</f>
        <v>104.25767169677601</v>
      </c>
      <c r="CM99">
        <f>$AW22-SUM($BE22:CM22)</f>
        <v>97.094003334516174</v>
      </c>
      <c r="CN99">
        <f>$AW22-SUM($BE22:CN22)</f>
        <v>90.549159763506168</v>
      </c>
      <c r="CO99">
        <f>$AW22-SUM($BE22:CO22)</f>
        <v>84.558778870900596</v>
      </c>
      <c r="CP99">
        <f>$AW22-SUM($BE22:CP22)</f>
        <v>79.066270152275138</v>
      </c>
      <c r="CQ99">
        <f>$AW22-SUM($BE22:CQ22)</f>
        <v>74.02176010937751</v>
      </c>
      <c r="CR99">
        <f>$AW22-SUM($BE22:CR22)</f>
        <v>69.381193342701636</v>
      </c>
      <c r="CS99">
        <f>$AW22-SUM($BE22:CS22)</f>
        <v>65.105565293182849</v>
      </c>
      <c r="CT99">
        <f>$AW22-SUM($BE22:CT22)</f>
        <v>61.160266230625098</v>
      </c>
      <c r="CU99">
        <f>$AW22-SUM($BE22:CU22)</f>
        <v>57.514519272552889</v>
      </c>
      <c r="CV99">
        <f>$AW22-SUM($BE22:CV22)</f>
        <v>54.140897951675583</v>
      </c>
      <c r="CW99">
        <f>$AW22-SUM($BE22:CW22)</f>
        <v>51.014911169584821</v>
      </c>
      <c r="CX99">
        <f>$AW22-SUM($BE22:CX22)</f>
        <v>48.114645327132735</v>
      </c>
      <c r="CY99">
        <f>$AW22-SUM($BE22:CY22)</f>
        <v>45.420455058580274</v>
      </c>
      <c r="CZ99">
        <f>$AW22-SUM($BE22:CZ22)</f>
        <v>42.914695364635577</v>
      </c>
      <c r="DA99">
        <f>$AW22-SUM($BE22:DA22)</f>
        <v>40.581489081520886</v>
      </c>
      <c r="DB99">
        <f>$AW22-SUM($BE22:DB22)</f>
        <v>38.406524576226502</v>
      </c>
      <c r="DC99">
        <f>$AW22-SUM($BE22:DC22)</f>
        <v>36.376879353704908</v>
      </c>
      <c r="DD99">
        <f>$AW22-SUM($BE22:DD22)</f>
        <v>34.480865926487354</v>
      </c>
      <c r="DE99">
        <f>$AW22-SUM($BE22:DE22)</f>
        <v>32.707896853288958</v>
      </c>
      <c r="DF99">
        <f>$AW22-SUM($BE22:DF22)</f>
        <v>31.048366319061188</v>
      </c>
      <c r="DG99">
        <f>$AW22-SUM($BE22:DG22)</f>
        <v>29.493546019937867</v>
      </c>
      <c r="DH99">
        <f>$AW22-SUM($BE22:DH22)</f>
        <v>28.035493445254815</v>
      </c>
      <c r="DI99">
        <f>$AW22-SUM($BE22:DI22)</f>
        <v>26.666970925752707</v>
      </c>
      <c r="DJ99">
        <f>$AW22-SUM($BE22:DJ22)</f>
        <v>25.381374050821478</v>
      </c>
      <c r="DK99">
        <f>$AW22-SUM($BE22:DK22)</f>
        <v>24.172668255362282</v>
      </c>
      <c r="DL99">
        <f>$AW22-SUM($BE22:DL22)</f>
        <v>23.035332544422431</v>
      </c>
      <c r="DM99">
        <f>$AW22-SUM($BE22:DM22)</f>
        <v>21.964309466087798</v>
      </c>
      <c r="DN99">
        <f>$AW22-SUM($BE22:DN22)</f>
        <v>20.954960564262251</v>
      </c>
      <c r="DO99">
        <f>$AW22-SUM($BE22:DO22)</f>
        <v>20.00302664628191</v>
      </c>
      <c r="DP99">
        <f>$AW22-SUM($BE22:DP22)</f>
        <v>19.104592288606341</v>
      </c>
      <c r="DQ99">
        <f>$AW22-SUM($BE22:DQ22)</f>
        <v>18.256054079449996</v>
      </c>
      <c r="DR99">
        <f>$AW22-SUM($BE22:DR22)</f>
        <v>17.45409216209498</v>
      </c>
      <c r="DS99">
        <f>$AW22-SUM($BE22:DS22)</f>
        <v>16.695644698412934</v>
      </c>
      <c r="DT99">
        <f>$AW22-SUM($BE22:DT22)</f>
        <v>15.977884920176848</v>
      </c>
      <c r="DU99">
        <f>$AW22-SUM($BE22:DU22)</f>
        <v>15.298200477215801</v>
      </c>
      <c r="DV99">
        <f>$AW22-SUM($BE22:DV22)</f>
        <v>14.654174827329371</v>
      </c>
      <c r="DW99" s="4">
        <f>$AW22-SUM($BE22:DW22)</f>
        <v>14.043570443939075</v>
      </c>
    </row>
    <row r="100" spans="4:127" x14ac:dyDescent="0.25">
      <c r="D100"/>
      <c r="BD100">
        <v>2003</v>
      </c>
      <c r="BE100">
        <f>$AW23-SUM($BE23:BE23)</f>
        <v>638.50760452194982</v>
      </c>
      <c r="BF100">
        <f>$AW23-SUM($BE23:BF23)</f>
        <v>638.50760452194982</v>
      </c>
      <c r="BG100">
        <f>$AW23-SUM($BE23:BG23)</f>
        <v>638.50760452194982</v>
      </c>
      <c r="BH100">
        <f>$AW23-SUM($BE23:BH23)</f>
        <v>638.50760452194982</v>
      </c>
      <c r="BI100">
        <f>$AW23-SUM($BE23:BI23)</f>
        <v>638.50760452194982</v>
      </c>
      <c r="BJ100">
        <f>$AW23-SUM($BE23:BJ23)</f>
        <v>638.50760452194982</v>
      </c>
      <c r="BK100">
        <f>$AW23-SUM($BE23:BK23)</f>
        <v>638.50760452194982</v>
      </c>
      <c r="BL100">
        <f>$AW23-SUM($BE23:BL23)</f>
        <v>638.50760452194982</v>
      </c>
      <c r="BM100">
        <f>$AW23-SUM($BE23:BM23)</f>
        <v>638.50760452194982</v>
      </c>
      <c r="BN100">
        <f>$AW23-SUM($BE23:BN23)</f>
        <v>638.50760452194982</v>
      </c>
      <c r="BO100">
        <f>$AW23-SUM($BE23:BO23)</f>
        <v>638.50760452194982</v>
      </c>
      <c r="BP100">
        <f>$AW23-SUM($BE23:BP23)</f>
        <v>638.50760452194982</v>
      </c>
      <c r="BQ100">
        <f>$AW23-SUM($BE23:BQ23)</f>
        <v>638.50760452194982</v>
      </c>
      <c r="BR100">
        <f>$AW23-SUM($BE23:BR23)</f>
        <v>630.74157998323449</v>
      </c>
      <c r="BS100">
        <f>$AW23-SUM($BE23:BS23)</f>
        <v>598.00118959967642</v>
      </c>
      <c r="BT100">
        <f>$AW23-SUM($BE23:BT23)</f>
        <v>552.18729393824674</v>
      </c>
      <c r="BU100">
        <f>$AW23-SUM($BE23:BU23)</f>
        <v>503.44117369003857</v>
      </c>
      <c r="BV100">
        <f>$AW23-SUM($BE23:BV23)</f>
        <v>456.42960428067352</v>
      </c>
      <c r="BW100">
        <f>$AW23-SUM($BE23:BW23)</f>
        <v>413.00310598908641</v>
      </c>
      <c r="BX100">
        <f>$AW23-SUM($BE23:BX23)</f>
        <v>373.70987956190038</v>
      </c>
      <c r="BY100">
        <f>$AW23-SUM($BE23:BY23)</f>
        <v>338.51521515246372</v>
      </c>
      <c r="BZ100">
        <f>$AW23-SUM($BE23:BZ23)</f>
        <v>307.13865980529869</v>
      </c>
      <c r="CA100">
        <f>$AW23-SUM($BE23:CA23)</f>
        <v>279.2126025183909</v>
      </c>
      <c r="CB100">
        <f>$AW23-SUM($BE23:CB23)</f>
        <v>254.3562164627192</v>
      </c>
      <c r="CC100">
        <f>$AW23-SUM($BE23:CC23)</f>
        <v>232.20856896097433</v>
      </c>
      <c r="CD100">
        <f>$AW23-SUM($BE23:CD23)</f>
        <v>212.44184361712206</v>
      </c>
      <c r="CE100">
        <f>$AW23-SUM($BE23:CE23)</f>
        <v>194.76492627314053</v>
      </c>
      <c r="CF100">
        <f>$AW23-SUM($BE23:CF23)</f>
        <v>178.92246094360536</v>
      </c>
      <c r="CG100">
        <f>$AW23-SUM($BE23:CG23)</f>
        <v>164.69194055939636</v>
      </c>
      <c r="CH100">
        <f>$AW23-SUM($BE23:CH23)</f>
        <v>151.88011562174478</v>
      </c>
      <c r="CI100">
        <f>$AW23-SUM($BE23:CI23)</f>
        <v>140.31934787911734</v>
      </c>
      <c r="CJ100">
        <f>$AW23-SUM($BE23:CJ23)</f>
        <v>129.86419808004337</v>
      </c>
      <c r="CK100">
        <f>$AW23-SUM($BE23:CK23)</f>
        <v>120.38836320649784</v>
      </c>
      <c r="CL100">
        <f>$AW23-SUM($BE23:CL23)</f>
        <v>111.78199100785423</v>
      </c>
      <c r="CM100">
        <f>$AW23-SUM($BE23:CM23)</f>
        <v>103.94935738102106</v>
      </c>
      <c r="CN100">
        <f>$AW23-SUM($BE23:CN23)</f>
        <v>96.806873661324744</v>
      </c>
      <c r="CO100">
        <f>$AW23-SUM($BE23:CO23)</f>
        <v>90.281384723259066</v>
      </c>
      <c r="CP100">
        <f>$AW23-SUM($BE23:CP23)</f>
        <v>84.308718787797147</v>
      </c>
      <c r="CQ100">
        <f>$AW23-SUM($BE23:CQ23)</f>
        <v>78.832452701870125</v>
      </c>
      <c r="CR100">
        <f>$AW23-SUM($BE23:CR23)</f>
        <v>73.802860454822735</v>
      </c>
      <c r="CS100">
        <f>$AW23-SUM($BE23:CS23)</f>
        <v>69.176016929267576</v>
      </c>
      <c r="CT100">
        <f>$AW23-SUM($BE23:CT23)</f>
        <v>64.913032911742334</v>
      </c>
      <c r="CU100">
        <f>$AW23-SUM($BE23:CU23)</f>
        <v>60.979401021116587</v>
      </c>
      <c r="CV100">
        <f>$AW23-SUM($BE23:CV23)</f>
        <v>57.344435389353521</v>
      </c>
      <c r="CW100">
        <f>$AW23-SUM($BE23:CW23)</f>
        <v>53.980790655639908</v>
      </c>
      <c r="CX100">
        <f>$AW23-SUM($BE23:CX23)</f>
        <v>50.864048147472545</v>
      </c>
      <c r="CY100">
        <f>$AW23-SUM($BE23:CY23)</f>
        <v>47.972359069340655</v>
      </c>
      <c r="CZ100">
        <f>$AW23-SUM($BE23:CZ23)</f>
        <v>45.286136151445817</v>
      </c>
      <c r="DA100">
        <f>$AW23-SUM($BE23:DA23)</f>
        <v>42.787786574885331</v>
      </c>
      <c r="DB100">
        <f>$AW23-SUM($BE23:DB23)</f>
        <v>40.461480128367725</v>
      </c>
      <c r="DC100">
        <f>$AW23-SUM($BE23:DC23)</f>
        <v>38.292947501728577</v>
      </c>
      <c r="DD100">
        <f>$AW23-SUM($BE23:DD23)</f>
        <v>36.269304414760427</v>
      </c>
      <c r="DE100">
        <f>$AW23-SUM($BE23:DE23)</f>
        <v>34.378897942627873</v>
      </c>
      <c r="DF100">
        <f>$AW23-SUM($BE23:DF23)</f>
        <v>32.611171953585881</v>
      </c>
      <c r="DG100">
        <f>$AW23-SUM($BE23:DG23)</f>
        <v>30.956549039227298</v>
      </c>
      <c r="DH100">
        <f>$AW23-SUM($BE23:DH23)</f>
        <v>29.406326707321568</v>
      </c>
      <c r="DI100">
        <f>$AW23-SUM($BE23:DI23)</f>
        <v>27.952585935065827</v>
      </c>
      <c r="DJ100">
        <f>$AW23-SUM($BE23:DJ23)</f>
        <v>26.58811045668142</v>
      </c>
      <c r="DK100">
        <f>$AW23-SUM($BE23:DK23)</f>
        <v>25.3063153923448</v>
      </c>
      <c r="DL100">
        <f>$AW23-SUM($BE23:DL23)</f>
        <v>24.101184022577399</v>
      </c>
      <c r="DM100">
        <f>$AW23-SUM($BE23:DM23)</f>
        <v>22.967211679299567</v>
      </c>
      <c r="DN100">
        <f>$AW23-SUM($BE23:DN23)</f>
        <v>21.899355866665132</v>
      </c>
      <c r="DO100">
        <f>$AW23-SUM($BE23:DO23)</f>
        <v>20.892991845577512</v>
      </c>
      <c r="DP100">
        <f>$AW23-SUM($BE23:DP23)</f>
        <v>19.943873018801355</v>
      </c>
      <c r="DQ100">
        <f>$AW23-SUM($BE23:DQ23)</f>
        <v>19.048095541619318</v>
      </c>
      <c r="DR100">
        <f>$AW23-SUM($BE23:DR23)</f>
        <v>18.202066658377248</v>
      </c>
      <c r="DS100">
        <f>$AW23-SUM($BE23:DS23)</f>
        <v>17.402476329949764</v>
      </c>
      <c r="DT100">
        <f>$AW23-SUM($BE23:DT23)</f>
        <v>16.646271772779869</v>
      </c>
      <c r="DU100">
        <f>$AW23-SUM($BE23:DU23)</f>
        <v>15.930634578055333</v>
      </c>
      <c r="DV100">
        <f>$AW23-SUM($BE23:DV23)</f>
        <v>15.252960120935654</v>
      </c>
      <c r="DW100" s="4">
        <f>$AW23-SUM($BE23:DW23)</f>
        <v>14.610839005500679</v>
      </c>
    </row>
    <row r="101" spans="4:127" x14ac:dyDescent="0.25">
      <c r="D101"/>
      <c r="BD101">
        <v>2004</v>
      </c>
      <c r="BE101">
        <f>$AW24-SUM($BE24:BE24)</f>
        <v>678.26440654789928</v>
      </c>
      <c r="BF101">
        <f>$AW24-SUM($BE24:BF24)</f>
        <v>678.26440654789928</v>
      </c>
      <c r="BG101">
        <f>$AW24-SUM($BE24:BG24)</f>
        <v>678.26440654789928</v>
      </c>
      <c r="BH101">
        <f>$AW24-SUM($BE24:BH24)</f>
        <v>678.26440654789928</v>
      </c>
      <c r="BI101">
        <f>$AW24-SUM($BE24:BI24)</f>
        <v>678.26440654789928</v>
      </c>
      <c r="BJ101">
        <f>$AW24-SUM($BE24:BJ24)</f>
        <v>678.26440654789928</v>
      </c>
      <c r="BK101">
        <f>$AW24-SUM($BE24:BK24)</f>
        <v>678.26440654789928</v>
      </c>
      <c r="BL101">
        <f>$AW24-SUM($BE24:BL24)</f>
        <v>678.26440654789928</v>
      </c>
      <c r="BM101">
        <f>$AW24-SUM($BE24:BM24)</f>
        <v>678.26440654789928</v>
      </c>
      <c r="BN101">
        <f>$AW24-SUM($BE24:BN24)</f>
        <v>678.26440654789928</v>
      </c>
      <c r="BO101">
        <f>$AW24-SUM($BE24:BO24)</f>
        <v>678.26440654789928</v>
      </c>
      <c r="BP101">
        <f>$AW24-SUM($BE24:BP24)</f>
        <v>678.26440654789928</v>
      </c>
      <c r="BQ101">
        <f>$AW24-SUM($BE24:BQ24)</f>
        <v>678.26440654789928</v>
      </c>
      <c r="BR101">
        <f>$AW24-SUM($BE24:BR24)</f>
        <v>678.26440654789928</v>
      </c>
      <c r="BS101">
        <f>$AW24-SUM($BE24:BS24)</f>
        <v>670.01482895840161</v>
      </c>
      <c r="BT101">
        <f>$AW24-SUM($BE24:BT24)</f>
        <v>635.23585170522279</v>
      </c>
      <c r="BU101">
        <f>$AW24-SUM($BE24:BU24)</f>
        <v>586.56934478756125</v>
      </c>
      <c r="BV101">
        <f>$AW24-SUM($BE24:BV24)</f>
        <v>534.7880377404548</v>
      </c>
      <c r="BW101">
        <f>$AW24-SUM($BE24:BW24)</f>
        <v>484.84928368254253</v>
      </c>
      <c r="BX101">
        <f>$AW24-SUM($BE24:BX24)</f>
        <v>438.71882590318785</v>
      </c>
      <c r="BY101">
        <f>$AW24-SUM($BE24:BY24)</f>
        <v>396.97899897670777</v>
      </c>
      <c r="BZ101">
        <f>$AW24-SUM($BE24:BZ24)</f>
        <v>359.59293184099772</v>
      </c>
      <c r="CA101">
        <f>$AW24-SUM($BE24:CA24)</f>
        <v>326.2627090819505</v>
      </c>
      <c r="CB101">
        <f>$AW24-SUM($BE24:CB24)</f>
        <v>296.59783032595129</v>
      </c>
      <c r="CC101">
        <f>$AW24-SUM($BE24:CC24)</f>
        <v>270.19375648630125</v>
      </c>
      <c r="CD101">
        <f>$AW24-SUM($BE24:CD24)</f>
        <v>246.66708134129658</v>
      </c>
      <c r="CE101">
        <f>$AW24-SUM($BE24:CE24)</f>
        <v>225.66957694229859</v>
      </c>
      <c r="CF101">
        <f>$AW24-SUM($BE24:CF24)</f>
        <v>206.89200285077538</v>
      </c>
      <c r="CG101">
        <f>$AW24-SUM($BE24:CG24)</f>
        <v>190.06310329046721</v>
      </c>
      <c r="CH101">
        <f>$AW24-SUM($BE24:CH24)</f>
        <v>174.94651674567615</v>
      </c>
      <c r="CI101">
        <f>$AW24-SUM($BE24:CI24)</f>
        <v>161.33696099944837</v>
      </c>
      <c r="CJ101">
        <f>$AW24-SUM($BE24:CJ24)</f>
        <v>149.05635977143004</v>
      </c>
      <c r="CK101">
        <f>$AW24-SUM($BE24:CK24)</f>
        <v>137.95021800645043</v>
      </c>
      <c r="CL101">
        <f>$AW24-SUM($BE24:CL24)</f>
        <v>127.88436840413726</v>
      </c>
      <c r="CM101">
        <f>$AW24-SUM($BE24:CM24)</f>
        <v>118.74211874179571</v>
      </c>
      <c r="CN101">
        <f>$AW24-SUM($BE24:CN24)</f>
        <v>110.42178463616096</v>
      </c>
      <c r="CO101">
        <f>$AW24-SUM($BE24:CO24)</f>
        <v>102.83457275785463</v>
      </c>
      <c r="CP101">
        <f>$AW24-SUM($BE24:CP24)</f>
        <v>95.902772963041343</v>
      </c>
      <c r="CQ101">
        <f>$AW24-SUM($BE24:CQ24)</f>
        <v>89.55821780420672</v>
      </c>
      <c r="CR101">
        <f>$AW24-SUM($BE24:CR24)</f>
        <v>83.74097092951888</v>
      </c>
      <c r="CS101">
        <f>$AW24-SUM($BE24:CS24)</f>
        <v>78.398210128454366</v>
      </c>
      <c r="CT101">
        <f>$AW24-SUM($BE24:CT24)</f>
        <v>73.483275277521329</v>
      </c>
      <c r="CU101">
        <f>$AW24-SUM($BE24:CU24)</f>
        <v>68.954855718705289</v>
      </c>
      <c r="CV101">
        <f>$AW24-SUM($BE24:CV24)</f>
        <v>64.776295461978634</v>
      </c>
      <c r="CW101">
        <f>$AW24-SUM($BE24:CW24)</f>
        <v>60.914997977674375</v>
      </c>
      <c r="CX101">
        <f>$AW24-SUM($BE24:CX24)</f>
        <v>57.341915240690582</v>
      </c>
      <c r="CY101">
        <f>$AW24-SUM($BE24:CY24)</f>
        <v>54.031108145061012</v>
      </c>
      <c r="CZ101">
        <f>$AW24-SUM($BE24:CZ24)</f>
        <v>50.959367475709655</v>
      </c>
      <c r="DA101">
        <f>$AW24-SUM($BE24:DA24)</f>
        <v>48.105886357618033</v>
      </c>
      <c r="DB101">
        <f>$AW24-SUM($BE24:DB24)</f>
        <v>45.451976551541975</v>
      </c>
      <c r="DC101">
        <f>$AW24-SUM($BE24:DC24)</f>
        <v>42.980822174959144</v>
      </c>
      <c r="DD101">
        <f>$AW24-SUM($BE24:DD24)</f>
        <v>40.677265436291464</v>
      </c>
      <c r="DE101">
        <f>$AW24-SUM($BE24:DE24)</f>
        <v>38.527619813080946</v>
      </c>
      <c r="DF101">
        <f>$AW24-SUM($BE24:DF24)</f>
        <v>36.519506808827373</v>
      </c>
      <c r="DG101">
        <f>$AW24-SUM($BE24:DG24)</f>
        <v>34.641713012159016</v>
      </c>
      <c r="DH101">
        <f>$AW24-SUM($BE24:DH24)</f>
        <v>32.884064675443824</v>
      </c>
      <c r="DI101">
        <f>$AW24-SUM($BE24:DI24)</f>
        <v>31.237317444054838</v>
      </c>
      <c r="DJ101">
        <f>$AW24-SUM($BE24:DJ24)</f>
        <v>29.693059215671269</v>
      </c>
      <c r="DK101">
        <f>$AW24-SUM($BE24:DK24)</f>
        <v>28.243624402301407</v>
      </c>
      <c r="DL101">
        <f>$AW24-SUM($BE24:DL24)</f>
        <v>26.882018115279607</v>
      </c>
      <c r="DM101">
        <f>$AW24-SUM($BE24:DM24)</f>
        <v>25.601849002901531</v>
      </c>
      <c r="DN101">
        <f>$AW24-SUM($BE24:DN24)</f>
        <v>24.397269647843018</v>
      </c>
      <c r="DO101">
        <f>$AW24-SUM($BE24:DO24)</f>
        <v>23.262923582258622</v>
      </c>
      <c r="DP101">
        <f>$AW24-SUM($BE24:DP24)</f>
        <v>22.193898106759093</v>
      </c>
      <c r="DQ101">
        <f>$AW24-SUM($BE24:DQ24)</f>
        <v>21.185682208894036</v>
      </c>
      <c r="DR101">
        <f>$AW24-SUM($BE24:DR24)</f>
        <v>20.234128970284246</v>
      </c>
      <c r="DS101">
        <f>$AW24-SUM($BE24:DS24)</f>
        <v>19.335421931635551</v>
      </c>
      <c r="DT101">
        <f>$AW24-SUM($BE24:DT24)</f>
        <v>18.486044953583246</v>
      </c>
      <c r="DU101">
        <f>$AW24-SUM($BE24:DU24)</f>
        <v>17.682755170399446</v>
      </c>
      <c r="DV101">
        <f>$AW24-SUM($BE24:DV24)</f>
        <v>16.922558684491037</v>
      </c>
      <c r="DW101" s="4">
        <f>$AW24-SUM($BE24:DW24)</f>
        <v>16.202688693537539</v>
      </c>
    </row>
    <row r="102" spans="4:127" x14ac:dyDescent="0.25">
      <c r="D102"/>
      <c r="BD102">
        <v>2005</v>
      </c>
      <c r="BE102">
        <f>$AW25-SUM($BE25:BE25)</f>
        <v>694.59699518924367</v>
      </c>
      <c r="BF102">
        <f>$AW25-SUM($BE25:BF25)</f>
        <v>694.59699518924367</v>
      </c>
      <c r="BG102">
        <f>$AW25-SUM($BE25:BG25)</f>
        <v>694.59699518924367</v>
      </c>
      <c r="BH102">
        <f>$AW25-SUM($BE25:BH25)</f>
        <v>694.59699518924367</v>
      </c>
      <c r="BI102">
        <f>$AW25-SUM($BE25:BI25)</f>
        <v>694.59699518924367</v>
      </c>
      <c r="BJ102">
        <f>$AW25-SUM($BE25:BJ25)</f>
        <v>694.59699518924367</v>
      </c>
      <c r="BK102">
        <f>$AW25-SUM($BE25:BK25)</f>
        <v>694.59699518924367</v>
      </c>
      <c r="BL102">
        <f>$AW25-SUM($BE25:BL25)</f>
        <v>694.59699518924367</v>
      </c>
      <c r="BM102">
        <f>$AW25-SUM($BE25:BM25)</f>
        <v>694.59699518924367</v>
      </c>
      <c r="BN102">
        <f>$AW25-SUM($BE25:BN25)</f>
        <v>694.59699518924367</v>
      </c>
      <c r="BO102">
        <f>$AW25-SUM($BE25:BO25)</f>
        <v>694.59699518924367</v>
      </c>
      <c r="BP102">
        <f>$AW25-SUM($BE25:BP25)</f>
        <v>694.59699518924367</v>
      </c>
      <c r="BQ102">
        <f>$AW25-SUM($BE25:BQ25)</f>
        <v>694.59699518924367</v>
      </c>
      <c r="BR102">
        <f>$AW25-SUM($BE25:BR25)</f>
        <v>694.59699518924367</v>
      </c>
      <c r="BS102">
        <f>$AW25-SUM($BE25:BS25)</f>
        <v>694.59699518924367</v>
      </c>
      <c r="BT102">
        <f>$AW25-SUM($BE25:BT25)</f>
        <v>686.14876799358444</v>
      </c>
      <c r="BU102">
        <f>$AW25-SUM($BE25:BU25)</f>
        <v>650.53231390488384</v>
      </c>
      <c r="BV102">
        <f>$AW25-SUM($BE25:BV25)</f>
        <v>600.69391881142542</v>
      </c>
      <c r="BW102">
        <f>$AW25-SUM($BE25:BW25)</f>
        <v>547.66571928529902</v>
      </c>
      <c r="BX102">
        <f>$AW25-SUM($BE25:BX25)</f>
        <v>496.52444137471934</v>
      </c>
      <c r="BY102">
        <f>$AW25-SUM($BE25:BY25)</f>
        <v>449.28316341451261</v>
      </c>
      <c r="BZ102">
        <f>$AW25-SUM($BE25:BZ25)</f>
        <v>406.53824257986059</v>
      </c>
      <c r="CA102">
        <f>$AW25-SUM($BE25:CA25)</f>
        <v>368.25191995447653</v>
      </c>
      <c r="CB102">
        <f>$AW25-SUM($BE25:CB25)</f>
        <v>334.11910632910553</v>
      </c>
      <c r="CC102">
        <f>$AW25-SUM($BE25:CC25)</f>
        <v>303.73989809165374</v>
      </c>
      <c r="CD102">
        <f>$AW25-SUM($BE25:CD25)</f>
        <v>276.70001486511052</v>
      </c>
      <c r="CE102">
        <f>$AW25-SUM($BE25:CE25)</f>
        <v>252.60681801628004</v>
      </c>
      <c r="CF102">
        <f>$AW25-SUM($BE25:CF25)</f>
        <v>231.1036942768996</v>
      </c>
      <c r="CG102">
        <f>$AW25-SUM($BE25:CG25)</f>
        <v>211.87395670700647</v>
      </c>
      <c r="CH102">
        <f>$AW25-SUM($BE25:CH25)</f>
        <v>194.63981769855457</v>
      </c>
      <c r="CI102">
        <f>$AW25-SUM($BE25:CI25)</f>
        <v>179.15922415691409</v>
      </c>
      <c r="CJ102">
        <f>$AW25-SUM($BE25:CJ25)</f>
        <v>165.2219506748761</v>
      </c>
      <c r="CK102">
        <f>$AW25-SUM($BE25:CK25)</f>
        <v>152.64563290005208</v>
      </c>
      <c r="CL102">
        <f>$AW25-SUM($BE25:CL25)</f>
        <v>141.27205554050386</v>
      </c>
      <c r="CM102">
        <f>$AW25-SUM($BE25:CM25)</f>
        <v>130.96382055087986</v>
      </c>
      <c r="CN102">
        <f>$AW25-SUM($BE25:CN25)</f>
        <v>121.60142576290582</v>
      </c>
      <c r="CO102">
        <f>$AW25-SUM($BE25:CO25)</f>
        <v>113.08073823610675</v>
      </c>
      <c r="CP102">
        <f>$AW25-SUM($BE25:CP25)</f>
        <v>105.31082650012434</v>
      </c>
      <c r="CQ102">
        <f>$AW25-SUM($BE25:CQ25)</f>
        <v>98.212109152952621</v>
      </c>
      <c r="CR102">
        <f>$AW25-SUM($BE25:CR25)</f>
        <v>91.714777276776999</v>
      </c>
      <c r="CS102">
        <f>$AW25-SUM($BE25:CS25)</f>
        <v>85.757451254028069</v>
      </c>
      <c r="CT102">
        <f>$AW25-SUM($BE25:CT25)</f>
        <v>80.286036916775402</v>
      </c>
      <c r="CU102">
        <f>$AW25-SUM($BE25:CU25)</f>
        <v>75.25275056701048</v>
      </c>
      <c r="CV102">
        <f>$AW25-SUM($BE25:CV25)</f>
        <v>70.615286787186392</v>
      </c>
      <c r="CW102">
        <f>$AW25-SUM($BE25:CW25)</f>
        <v>66.336106912022842</v>
      </c>
      <c r="CX102">
        <f>$AW25-SUM($BE25:CX25)</f>
        <v>62.381829488296376</v>
      </c>
      <c r="CY102">
        <f>$AW25-SUM($BE25:CY25)</f>
        <v>58.722707015243259</v>
      </c>
      <c r="CZ102">
        <f>$AW25-SUM($BE25:CZ25)</f>
        <v>55.33217577392395</v>
      </c>
      <c r="DA102">
        <f>$AW25-SUM($BE25:DA25)</f>
        <v>52.18646767198868</v>
      </c>
      <c r="DB102">
        <f>$AW25-SUM($BE25:DB25)</f>
        <v>49.26427480542884</v>
      </c>
      <c r="DC102">
        <f>$AW25-SUM($BE25:DC25)</f>
        <v>46.546458922702641</v>
      </c>
      <c r="DD102">
        <f>$AW25-SUM($BE25:DD25)</f>
        <v>44.015799215289576</v>
      </c>
      <c r="DE102">
        <f>$AW25-SUM($BE25:DE25)</f>
        <v>41.656772892398635</v>
      </c>
      <c r="DF102">
        <f>$AW25-SUM($BE25:DF25)</f>
        <v>39.455363860479679</v>
      </c>
      <c r="DG102">
        <f>$AW25-SUM($BE25:DG25)</f>
        <v>37.398895549170106</v>
      </c>
      <c r="DH102">
        <f>$AW25-SUM($BE25:DH25)</f>
        <v>35.475884528454344</v>
      </c>
      <c r="DI102">
        <f>$AW25-SUM($BE25:DI25)</f>
        <v>33.675912067131435</v>
      </c>
      <c r="DJ102">
        <f>$AW25-SUM($BE25:DJ25)</f>
        <v>31.98951120676395</v>
      </c>
      <c r="DK102">
        <f>$AW25-SUM($BE25:DK25)</f>
        <v>30.408067281833837</v>
      </c>
      <c r="DL102">
        <f>$AW25-SUM($BE25:DL25)</f>
        <v>28.92373011719701</v>
      </c>
      <c r="DM102">
        <f>$AW25-SUM($BE25:DM25)</f>
        <v>27.529336387457192</v>
      </c>
      <c r="DN102">
        <f>$AW25-SUM($BE25:DN25)</f>
        <v>26.218340837333017</v>
      </c>
      <c r="DO102">
        <f>$AW25-SUM($BE25:DO25)</f>
        <v>24.984755243848667</v>
      </c>
      <c r="DP102">
        <f>$AW25-SUM($BE25:DP25)</f>
        <v>23.823094155557328</v>
      </c>
      <c r="DQ102">
        <f>$AW25-SUM($BE25:DQ25)</f>
        <v>22.728326575400729</v>
      </c>
      <c r="DR102">
        <f>$AW25-SUM($BE25:DR25)</f>
        <v>21.695832865870329</v>
      </c>
      <c r="DS102">
        <f>$AW25-SUM($BE25:DS25)</f>
        <v>20.721366250903884</v>
      </c>
      <c r="DT102">
        <f>$AW25-SUM($BE25:DT25)</f>
        <v>19.801018370970269</v>
      </c>
      <c r="DU102">
        <f>$AW25-SUM($BE25:DU25)</f>
        <v>18.931188418163515</v>
      </c>
      <c r="DV102">
        <f>$AW25-SUM($BE25:DV25)</f>
        <v>18.108555438636472</v>
      </c>
      <c r="DW102" s="4">
        <f>$AW25-SUM($BE25:DW25)</f>
        <v>17.330053441822429</v>
      </c>
    </row>
    <row r="103" spans="4:127" x14ac:dyDescent="0.25">
      <c r="D103"/>
      <c r="BD103">
        <v>2006</v>
      </c>
      <c r="BE103">
        <f>$AW26-SUM($BE26:BE26)</f>
        <v>652.43790791636991</v>
      </c>
      <c r="BF103">
        <f>$AW26-SUM($BE26:BF26)</f>
        <v>652.43790791636991</v>
      </c>
      <c r="BG103">
        <f>$AW26-SUM($BE26:BG26)</f>
        <v>652.43790791636991</v>
      </c>
      <c r="BH103">
        <f>$AW26-SUM($BE26:BH26)</f>
        <v>652.43790791636991</v>
      </c>
      <c r="BI103">
        <f>$AW26-SUM($BE26:BI26)</f>
        <v>652.43790791636991</v>
      </c>
      <c r="BJ103">
        <f>$AW26-SUM($BE26:BJ26)</f>
        <v>652.43790791636991</v>
      </c>
      <c r="BK103">
        <f>$AW26-SUM($BE26:BK26)</f>
        <v>652.43790791636991</v>
      </c>
      <c r="BL103">
        <f>$AW26-SUM($BE26:BL26)</f>
        <v>652.43790791636991</v>
      </c>
      <c r="BM103">
        <f>$AW26-SUM($BE26:BM26)</f>
        <v>652.43790791636991</v>
      </c>
      <c r="BN103">
        <f>$AW26-SUM($BE26:BN26)</f>
        <v>652.43790791636991</v>
      </c>
      <c r="BO103">
        <f>$AW26-SUM($BE26:BO26)</f>
        <v>652.43790791636991</v>
      </c>
      <c r="BP103">
        <f>$AW26-SUM($BE26:BP26)</f>
        <v>652.43790791636991</v>
      </c>
      <c r="BQ103">
        <f>$AW26-SUM($BE26:BQ26)</f>
        <v>652.43790791636991</v>
      </c>
      <c r="BR103">
        <f>$AW26-SUM($BE26:BR26)</f>
        <v>652.43790791636991</v>
      </c>
      <c r="BS103">
        <f>$AW26-SUM($BE26:BS26)</f>
        <v>652.43790791636991</v>
      </c>
      <c r="BT103">
        <f>$AW26-SUM($BE26:BT26)</f>
        <v>652.43790791636991</v>
      </c>
      <c r="BU103">
        <f>$AW26-SUM($BE26:BU26)</f>
        <v>644.50245222722413</v>
      </c>
      <c r="BV103">
        <f>$AW26-SUM($BE26:BV26)</f>
        <v>611.04776561905612</v>
      </c>
      <c r="BW103">
        <f>$AW26-SUM($BE26:BW26)</f>
        <v>564.23434941672099</v>
      </c>
      <c r="BX103">
        <f>$AW26-SUM($BE26:BX26)</f>
        <v>514.42473636192858</v>
      </c>
      <c r="BY103">
        <f>$AW26-SUM($BE26:BY26)</f>
        <v>466.38751679541213</v>
      </c>
      <c r="BZ103">
        <f>$AW26-SUM($BE26:BZ26)</f>
        <v>422.01358374772371</v>
      </c>
      <c r="CA103">
        <f>$AW26-SUM($BE26:CA26)</f>
        <v>381.86309804656838</v>
      </c>
      <c r="CB103">
        <f>$AW26-SUM($BE26:CB26)</f>
        <v>345.90059258149495</v>
      </c>
      <c r="CC103">
        <f>$AW26-SUM($BE26:CC26)</f>
        <v>313.83949576236881</v>
      </c>
      <c r="CD103">
        <f>$AW26-SUM($BE26:CD26)</f>
        <v>285.30417642773989</v>
      </c>
      <c r="CE103">
        <f>$AW26-SUM($BE26:CE26)</f>
        <v>259.90549925980559</v>
      </c>
      <c r="CF103">
        <f>$AW26-SUM($BE26:CF26)</f>
        <v>237.27465712265308</v>
      </c>
      <c r="CG103">
        <f>$AW26-SUM($BE26:CG26)</f>
        <v>217.07668165867074</v>
      </c>
      <c r="CH103">
        <f>$AW26-SUM($BE26:CH26)</f>
        <v>199.01410748000808</v>
      </c>
      <c r="CI103">
        <f>$AW26-SUM($BE26:CI26)</f>
        <v>182.82600750651085</v>
      </c>
      <c r="CJ103">
        <f>$AW26-SUM($BE26:CJ26)</f>
        <v>168.2850202382607</v>
      </c>
      <c r="CK103">
        <f>$AW26-SUM($BE26:CK26)</f>
        <v>155.19368005732349</v>
      </c>
      <c r="CL103">
        <f>$AW26-SUM($BE26:CL26)</f>
        <v>143.38069135289908</v>
      </c>
      <c r="CM103">
        <f>$AW26-SUM($BE26:CM26)</f>
        <v>132.69744182924273</v>
      </c>
      <c r="CN103">
        <f>$AW26-SUM($BE26:CN26)</f>
        <v>123.01487291875071</v>
      </c>
      <c r="CO103">
        <f>$AW26-SUM($BE26:CO26)</f>
        <v>114.22073572717147</v>
      </c>
      <c r="CP103">
        <f>$AW26-SUM($BE26:CP26)</f>
        <v>106.21721774120715</v>
      </c>
      <c r="CQ103">
        <f>$AW26-SUM($BE26:CQ26)</f>
        <v>98.918906644514209</v>
      </c>
      <c r="CR103">
        <f>$AW26-SUM($BE26:CR26)</f>
        <v>92.251051288162557</v>
      </c>
      <c r="CS103">
        <f>$AW26-SUM($BE26:CS26)</f>
        <v>86.148079859132167</v>
      </c>
      <c r="CT103">
        <f>$AW26-SUM($BE26:CT26)</f>
        <v>80.552338221927016</v>
      </c>
      <c r="CU103">
        <f>$AW26-SUM($BE26:CU26)</f>
        <v>75.413015494842398</v>
      </c>
      <c r="CV103">
        <f>$AW26-SUM($BE26:CV26)</f>
        <v>70.685228247375335</v>
      </c>
      <c r="CW103">
        <f>$AW26-SUM($BE26:CW26)</f>
        <v>66.329238821129593</v>
      </c>
      <c r="CX103">
        <f>$AW26-SUM($BE26:CX26)</f>
        <v>62.309786988360202</v>
      </c>
      <c r="CY103">
        <f>$AW26-SUM($BE26:CY26)</f>
        <v>58.595517408264868</v>
      </c>
      <c r="CZ103">
        <f>$AW26-SUM($BE26:CZ26)</f>
        <v>55.158488127022224</v>
      </c>
      <c r="DA103">
        <f>$AW26-SUM($BE26:DA26)</f>
        <v>51.973747730601758</v>
      </c>
      <c r="DB103">
        <f>$AW26-SUM($BE26:DB26)</f>
        <v>49.018970748903143</v>
      </c>
      <c r="DC103">
        <f>$AW26-SUM($BE26:DC26)</f>
        <v>46.274142577184762</v>
      </c>
      <c r="DD103">
        <f>$AW26-SUM($BE26:DD26)</f>
        <v>43.721286574482633</v>
      </c>
      <c r="DE103">
        <f>$AW26-SUM($BE26:DE26)</f>
        <v>41.344227162207176</v>
      </c>
      <c r="DF103">
        <f>$AW26-SUM($BE26:DF26)</f>
        <v>39.128383717034581</v>
      </c>
      <c r="DG103">
        <f>$AW26-SUM($BE26:DG26)</f>
        <v>37.060590862759341</v>
      </c>
      <c r="DH103">
        <f>$AW26-SUM($BE26:DH26)</f>
        <v>35.128941442995369</v>
      </c>
      <c r="DI103">
        <f>$AW26-SUM($BE26:DI26)</f>
        <v>33.322649023152621</v>
      </c>
      <c r="DJ103">
        <f>$AW26-SUM($BE26:DJ26)</f>
        <v>31.631927244759936</v>
      </c>
      <c r="DK103">
        <f>$AW26-SUM($BE26:DK26)</f>
        <v>30.047883753545648</v>
      </c>
      <c r="DL103">
        <f>$AW26-SUM($BE26:DL26)</f>
        <v>28.56242675759745</v>
      </c>
      <c r="DM103">
        <f>$AW26-SUM($BE26:DM26)</f>
        <v>27.16818255405849</v>
      </c>
      <c r="DN103">
        <f>$AW26-SUM($BE26:DN26)</f>
        <v>25.85842260095751</v>
      </c>
      <c r="DO103">
        <f>$AW26-SUM($BE26:DO26)</f>
        <v>24.626998912207341</v>
      </c>
      <c r="DP103">
        <f>$AW26-SUM($BE26:DP26)</f>
        <v>23.468286724531708</v>
      </c>
      <c r="DQ103">
        <f>$AW26-SUM($BE26:DQ26)</f>
        <v>22.37713353008678</v>
      </c>
      <c r="DR103">
        <f>$AW26-SUM($BE26:DR26)</f>
        <v>21.348813691966257</v>
      </c>
      <c r="DS103">
        <f>$AW26-SUM($BE26:DS26)</f>
        <v>20.378987965036231</v>
      </c>
      <c r="DT103">
        <f>$AW26-SUM($BE26:DT26)</f>
        <v>19.463667334503157</v>
      </c>
      <c r="DU103">
        <f>$AW26-SUM($BE26:DU26)</f>
        <v>18.599180661658352</v>
      </c>
      <c r="DV103">
        <f>$AW26-SUM($BE26:DV26)</f>
        <v>17.782145692341146</v>
      </c>
      <c r="DW103" s="4">
        <f>$AW26-SUM($BE26:DW26)</f>
        <v>17.009443040497104</v>
      </c>
    </row>
    <row r="104" spans="4:127" x14ac:dyDescent="0.25">
      <c r="D104"/>
      <c r="BD104">
        <v>2007</v>
      </c>
      <c r="BE104">
        <f>$AW27-SUM($BE27:BE27)</f>
        <v>622.99568542386555</v>
      </c>
      <c r="BF104">
        <f>$AW27-SUM($BE27:BF27)</f>
        <v>622.99568542386555</v>
      </c>
      <c r="BG104">
        <f>$AW27-SUM($BE27:BG27)</f>
        <v>622.99568542386555</v>
      </c>
      <c r="BH104">
        <f>$AW27-SUM($BE27:BH27)</f>
        <v>622.99568542386555</v>
      </c>
      <c r="BI104">
        <f>$AW27-SUM($BE27:BI27)</f>
        <v>622.99568542386555</v>
      </c>
      <c r="BJ104">
        <f>$AW27-SUM($BE27:BJ27)</f>
        <v>622.99568542386555</v>
      </c>
      <c r="BK104">
        <f>$AW27-SUM($BE27:BK27)</f>
        <v>622.99568542386555</v>
      </c>
      <c r="BL104">
        <f>$AW27-SUM($BE27:BL27)</f>
        <v>622.99568542386555</v>
      </c>
      <c r="BM104">
        <f>$AW27-SUM($BE27:BM27)</f>
        <v>622.99568542386555</v>
      </c>
      <c r="BN104">
        <f>$AW27-SUM($BE27:BN27)</f>
        <v>622.99568542386555</v>
      </c>
      <c r="BO104">
        <f>$AW27-SUM($BE27:BO27)</f>
        <v>622.99568542386555</v>
      </c>
      <c r="BP104">
        <f>$AW27-SUM($BE27:BP27)</f>
        <v>622.99568542386555</v>
      </c>
      <c r="BQ104">
        <f>$AW27-SUM($BE27:BQ27)</f>
        <v>622.99568542386555</v>
      </c>
      <c r="BR104">
        <f>$AW27-SUM($BE27:BR27)</f>
        <v>622.99568542386555</v>
      </c>
      <c r="BS104">
        <f>$AW27-SUM($BE27:BS27)</f>
        <v>622.99568542386555</v>
      </c>
      <c r="BT104">
        <f>$AW27-SUM($BE27:BT27)</f>
        <v>622.99568542386555</v>
      </c>
      <c r="BU104">
        <f>$AW27-SUM($BE27:BU27)</f>
        <v>622.99568542386555</v>
      </c>
      <c r="BV104">
        <f>$AW27-SUM($BE27:BV27)</f>
        <v>615.41832887203896</v>
      </c>
      <c r="BW104">
        <f>$AW27-SUM($BE27:BW27)</f>
        <v>583.47333431974857</v>
      </c>
      <c r="BX104">
        <f>$AW27-SUM($BE27:BX27)</f>
        <v>538.77244254117829</v>
      </c>
      <c r="BY104">
        <f>$AW27-SUM($BE27:BY27)</f>
        <v>491.21056171045018</v>
      </c>
      <c r="BZ104">
        <f>$AW27-SUM($BE27:BZ27)</f>
        <v>445.34109249877656</v>
      </c>
      <c r="CA104">
        <f>$AW27-SUM($BE27:CA27)</f>
        <v>402.9695986009375</v>
      </c>
      <c r="CB104">
        <f>$AW27-SUM($BE27:CB27)</f>
        <v>364.63096276143534</v>
      </c>
      <c r="CC104">
        <f>$AW27-SUM($BE27:CC27)</f>
        <v>330.29131837546754</v>
      </c>
      <c r="CD104">
        <f>$AW27-SUM($BE27:CD27)</f>
        <v>299.67702581840069</v>
      </c>
      <c r="CE104">
        <f>$AW27-SUM($BE27:CE27)</f>
        <v>272.42940483874304</v>
      </c>
      <c r="CF104">
        <f>$AW27-SUM($BE27:CF27)</f>
        <v>248.17688042361516</v>
      </c>
      <c r="CG104">
        <f>$AW27-SUM($BE27:CG27)</f>
        <v>226.5672884028495</v>
      </c>
      <c r="CH104">
        <f>$AW27-SUM($BE27:CH27)</f>
        <v>207.28077635981992</v>
      </c>
      <c r="CI104">
        <f>$AW27-SUM($BE27:CI27)</f>
        <v>190.03330247085984</v>
      </c>
      <c r="CJ104">
        <f>$AW27-SUM($BE27:CJ27)</f>
        <v>174.57571437499513</v>
      </c>
      <c r="CK104">
        <f>$AW27-SUM($BE27:CK27)</f>
        <v>160.69091059519332</v>
      </c>
      <c r="CL104">
        <f>$AW27-SUM($BE27:CL27)</f>
        <v>148.1903364406557</v>
      </c>
      <c r="CM104">
        <f>$AW27-SUM($BE27:CM27)</f>
        <v>136.91042626756285</v>
      </c>
      <c r="CN104">
        <f>$AW27-SUM($BE27:CN27)</f>
        <v>126.70927412911664</v>
      </c>
      <c r="CO104">
        <f>$AW27-SUM($BE27:CO27)</f>
        <v>117.46364541584904</v>
      </c>
      <c r="CP104">
        <f>$AW27-SUM($BE27:CP27)</f>
        <v>109.06635663035183</v>
      </c>
      <c r="CQ104">
        <f>$AW27-SUM($BE27:CQ27)</f>
        <v>101.42400919319584</v>
      </c>
      <c r="CR104">
        <f>$AW27-SUM($BE27:CR27)</f>
        <v>94.455045144737028</v>
      </c>
      <c r="CS104">
        <f>$AW27-SUM($BE27:CS27)</f>
        <v>88.0880865918474</v>
      </c>
      <c r="CT104">
        <f>$AW27-SUM($BE27:CT27)</f>
        <v>82.260520746242946</v>
      </c>
      <c r="CU104">
        <f>$AW27-SUM($BE27:CU27)</f>
        <v>76.917295200292074</v>
      </c>
      <c r="CV104">
        <f>$AW27-SUM($BE27:CV27)</f>
        <v>72.009891988238223</v>
      </c>
      <c r="CW104">
        <f>$AW27-SUM($BE27:CW27)</f>
        <v>67.495453110551921</v>
      </c>
      <c r="CX104">
        <f>$AW27-SUM($BE27:CX27)</f>
        <v>63.336034129257996</v>
      </c>
      <c r="CY104">
        <f>$AW27-SUM($BE27:CY27)</f>
        <v>59.497965986372947</v>
      </c>
      <c r="CZ104">
        <f>$AW27-SUM($BE27:CZ27)</f>
        <v>55.951308297075911</v>
      </c>
      <c r="DA104">
        <f>$AW27-SUM($BE27:DA27)</f>
        <v>52.669380029406739</v>
      </c>
      <c r="DB104">
        <f>$AW27-SUM($BE27:DB27)</f>
        <v>49.628355738679375</v>
      </c>
      <c r="DC104">
        <f>$AW27-SUM($BE27:DC27)</f>
        <v>46.806917424546441</v>
      </c>
      <c r="DD104">
        <f>$AW27-SUM($BE27:DD27)</f>
        <v>44.185953670813092</v>
      </c>
      <c r="DE104">
        <f>$AW27-SUM($BE27:DE27)</f>
        <v>41.748299058942052</v>
      </c>
      <c r="DF104">
        <f>$AW27-SUM($BE27:DF27)</f>
        <v>39.478507957175452</v>
      </c>
      <c r="DG104">
        <f>$AW27-SUM($BE27:DG27)</f>
        <v>37.3626577143134</v>
      </c>
      <c r="DH104">
        <f>$AW27-SUM($BE27:DH27)</f>
        <v>35.3881770611614</v>
      </c>
      <c r="DI104">
        <f>$AW27-SUM($BE27:DI27)</f>
        <v>33.543696169320356</v>
      </c>
      <c r="DJ104">
        <f>$AW27-SUM($BE27:DJ27)</f>
        <v>31.818915357963647</v>
      </c>
      <c r="DK104">
        <f>$AW27-SUM($BE27:DK27)</f>
        <v>30.204489892474271</v>
      </c>
      <c r="DL104">
        <f>$AW27-SUM($BE27:DL27)</f>
        <v>28.691928699177083</v>
      </c>
      <c r="DM104">
        <f>$AW27-SUM($BE27:DM27)</f>
        <v>27.273505140199859</v>
      </c>
      <c r="DN104">
        <f>$AW27-SUM($BE27:DN27)</f>
        <v>25.942178261898107</v>
      </c>
      <c r="DO104">
        <f>$AW27-SUM($BE27:DO27)</f>
        <v>24.691523157677125</v>
      </c>
      <c r="DP104">
        <f>$AW27-SUM($BE27:DP27)</f>
        <v>23.515669278385985</v>
      </c>
      <c r="DQ104">
        <f>$AW27-SUM($BE27:DQ27)</f>
        <v>22.409245686483814</v>
      </c>
      <c r="DR104">
        <f>$AW27-SUM($BE27:DR27)</f>
        <v>21.367332388639625</v>
      </c>
      <c r="DS104">
        <f>$AW27-SUM($BE27:DS27)</f>
        <v>20.385416999279755</v>
      </c>
      <c r="DT104">
        <f>$AW27-SUM($BE27:DT27)</f>
        <v>19.459356088104187</v>
      </c>
      <c r="DU104">
        <f>$AW27-SUM($BE27:DU27)</f>
        <v>18.585340650493094</v>
      </c>
      <c r="DV104">
        <f>$AW27-SUM($BE27:DV27)</f>
        <v>17.759865213284456</v>
      </c>
      <c r="DW104" s="4">
        <f>$AW27-SUM($BE27:DW27)</f>
        <v>16.979700151523048</v>
      </c>
    </row>
    <row r="105" spans="4:127" x14ac:dyDescent="0.25">
      <c r="D105"/>
      <c r="BD105">
        <v>2008</v>
      </c>
      <c r="BE105">
        <f>$AW28-SUM($BE28:BE28)</f>
        <v>585.69065737210292</v>
      </c>
      <c r="BF105">
        <f>$AW28-SUM($BE28:BF28)</f>
        <v>585.69065737210292</v>
      </c>
      <c r="BG105">
        <f>$AW28-SUM($BE28:BG28)</f>
        <v>585.69065737210292</v>
      </c>
      <c r="BH105">
        <f>$AW28-SUM($BE28:BH28)</f>
        <v>585.69065737210292</v>
      </c>
      <c r="BI105">
        <f>$AW28-SUM($BE28:BI28)</f>
        <v>585.69065737210292</v>
      </c>
      <c r="BJ105">
        <f>$AW28-SUM($BE28:BJ28)</f>
        <v>585.69065737210292</v>
      </c>
      <c r="BK105">
        <f>$AW28-SUM($BE28:BK28)</f>
        <v>585.69065737210292</v>
      </c>
      <c r="BL105">
        <f>$AW28-SUM($BE28:BL28)</f>
        <v>585.69065737210292</v>
      </c>
      <c r="BM105">
        <f>$AW28-SUM($BE28:BM28)</f>
        <v>585.69065737210292</v>
      </c>
      <c r="BN105">
        <f>$AW28-SUM($BE28:BN28)</f>
        <v>585.69065737210292</v>
      </c>
      <c r="BO105">
        <f>$AW28-SUM($BE28:BO28)</f>
        <v>585.69065737210292</v>
      </c>
      <c r="BP105">
        <f>$AW28-SUM($BE28:BP28)</f>
        <v>585.69065737210292</v>
      </c>
      <c r="BQ105">
        <f>$AW28-SUM($BE28:BQ28)</f>
        <v>585.69065737210292</v>
      </c>
      <c r="BR105">
        <f>$AW28-SUM($BE28:BR28)</f>
        <v>585.69065737210292</v>
      </c>
      <c r="BS105">
        <f>$AW28-SUM($BE28:BS28)</f>
        <v>585.69065737210292</v>
      </c>
      <c r="BT105">
        <f>$AW28-SUM($BE28:BT28)</f>
        <v>585.69065737210292</v>
      </c>
      <c r="BU105">
        <f>$AW28-SUM($BE28:BU28)</f>
        <v>585.69065737210292</v>
      </c>
      <c r="BV105">
        <f>$AW28-SUM($BE28:BV28)</f>
        <v>585.69065737210292</v>
      </c>
      <c r="BW105">
        <f>$AW28-SUM($BE28:BW28)</f>
        <v>578.56703349505688</v>
      </c>
      <c r="BX105">
        <f>$AW28-SUM($BE28:BX28)</f>
        <v>548.534907596224</v>
      </c>
      <c r="BY105">
        <f>$AW28-SUM($BE28:BY28)</f>
        <v>506.51070854724105</v>
      </c>
      <c r="BZ105">
        <f>$AW28-SUM($BE28:BZ28)</f>
        <v>461.79683668366613</v>
      </c>
      <c r="CA105">
        <f>$AW28-SUM($BE28:CA28)</f>
        <v>418.67403470532457</v>
      </c>
      <c r="CB105">
        <f>$AW28-SUM($BE28:CB28)</f>
        <v>378.83974901845176</v>
      </c>
      <c r="CC105">
        <f>$AW28-SUM($BE28:CC28)</f>
        <v>342.7968335489644</v>
      </c>
      <c r="CD105">
        <f>$AW28-SUM($BE28:CD28)</f>
        <v>310.51344962687853</v>
      </c>
      <c r="CE105">
        <f>$AW28-SUM($BE28:CE28)</f>
        <v>281.7323431886677</v>
      </c>
      <c r="CF105">
        <f>$AW28-SUM($BE28:CF28)</f>
        <v>256.11631178301866</v>
      </c>
      <c r="CG105">
        <f>$AW28-SUM($BE28:CG28)</f>
        <v>233.31603033650276</v>
      </c>
      <c r="CH105">
        <f>$AW28-SUM($BE28:CH28)</f>
        <v>213.00042229569573</v>
      </c>
      <c r="CI105">
        <f>$AW28-SUM($BE28:CI28)</f>
        <v>194.86878803050558</v>
      </c>
      <c r="CJ105">
        <f>$AW28-SUM($BE28:CJ28)</f>
        <v>178.65409416282597</v>
      </c>
      <c r="CK105">
        <f>$AW28-SUM($BE28:CK28)</f>
        <v>164.1221075936179</v>
      </c>
      <c r="CL105">
        <f>$AW28-SUM($BE28:CL28)</f>
        <v>151.06872689846602</v>
      </c>
      <c r="CM105">
        <f>$AW28-SUM($BE28:CM28)</f>
        <v>139.31668805550265</v>
      </c>
      <c r="CN105">
        <f>$AW28-SUM($BE28:CN28)</f>
        <v>128.71221974384468</v>
      </c>
      <c r="CO105">
        <f>$AW28-SUM($BE28:CO28)</f>
        <v>119.1219133553592</v>
      </c>
      <c r="CP105">
        <f>$AW28-SUM($BE28:CP28)</f>
        <v>110.42991357817323</v>
      </c>
      <c r="CQ105">
        <f>$AW28-SUM($BE28:CQ28)</f>
        <v>102.53545507068765</v>
      </c>
      <c r="CR105">
        <f>$AW28-SUM($BE28:CR28)</f>
        <v>95.350731967366983</v>
      </c>
      <c r="CS105">
        <f>$AW28-SUM($BE28:CS28)</f>
        <v>88.799070005266344</v>
      </c>
      <c r="CT105">
        <f>$AW28-SUM($BE28:CT28)</f>
        <v>82.813365404815215</v>
      </c>
      <c r="CU105">
        <f>$AW28-SUM($BE28:CU28)</f>
        <v>77.334754636156163</v>
      </c>
      <c r="CV105">
        <f>$AW28-SUM($BE28:CV28)</f>
        <v>72.311481833927701</v>
      </c>
      <c r="CW105">
        <f>$AW28-SUM($BE28:CW28)</f>
        <v>67.69793429177696</v>
      </c>
      <c r="CX105">
        <f>$AW28-SUM($BE28:CX28)</f>
        <v>63.453820350378919</v>
      </c>
      <c r="CY105">
        <f>$AW28-SUM($BE28:CY28)</f>
        <v>59.543467687530892</v>
      </c>
      <c r="CZ105">
        <f>$AW28-SUM($BE28:CZ28)</f>
        <v>55.935223350949514</v>
      </c>
      <c r="DA105">
        <f>$AW28-SUM($BE28:DA28)</f>
        <v>52.600939788287405</v>
      </c>
      <c r="DB105">
        <f>$AW28-SUM($BE28:DB28)</f>
        <v>49.515533629765741</v>
      </c>
      <c r="DC105">
        <f>$AW28-SUM($BE28:DC28)</f>
        <v>46.65660610010093</v>
      </c>
      <c r="DD105">
        <f>$AW28-SUM($BE28:DD28)</f>
        <v>44.004115722394658</v>
      </c>
      <c r="DE105">
        <f>$AW28-SUM($BE28:DE28)</f>
        <v>41.540095473477322</v>
      </c>
      <c r="DF105">
        <f>$AW28-SUM($BE28:DF28)</f>
        <v>39.2484078013523</v>
      </c>
      <c r="DG105">
        <f>$AW28-SUM($BE28:DG28)</f>
        <v>37.114531959842225</v>
      </c>
      <c r="DH105">
        <f>$AW28-SUM($BE28:DH28)</f>
        <v>35.125378987137992</v>
      </c>
      <c r="DI105">
        <f>$AW28-SUM($BE28:DI28)</f>
        <v>33.269130382581011</v>
      </c>
      <c r="DJ105">
        <f>$AW28-SUM($BE28:DJ28)</f>
        <v>31.535097143943631</v>
      </c>
      <c r="DK105">
        <f>$AW28-SUM($BE28:DK28)</f>
        <v>29.913596336054411</v>
      </c>
      <c r="DL105">
        <f>$AW28-SUM($BE28:DL28)</f>
        <v>28.395842787701326</v>
      </c>
      <c r="DM105">
        <f>$AW28-SUM($BE28:DM28)</f>
        <v>26.973853871333517</v>
      </c>
      <c r="DN105">
        <f>$AW28-SUM($BE28:DN28)</f>
        <v>25.640365620729881</v>
      </c>
      <c r="DO105">
        <f>$AW28-SUM($BE28:DO28)</f>
        <v>24.388758695074898</v>
      </c>
      <c r="DP105">
        <f>$AW28-SUM($BE28:DP28)</f>
        <v>23.212992911659171</v>
      </c>
      <c r="DQ105">
        <f>$AW28-SUM($BE28:DQ28)</f>
        <v>22.107549250252418</v>
      </c>
      <c r="DR105">
        <f>$AW28-SUM($BE28:DR28)</f>
        <v>21.067378385453708</v>
      </c>
      <c r="DS105">
        <f>$AW28-SUM($BE28:DS28)</f>
        <v>20.087854933499329</v>
      </c>
      <c r="DT105">
        <f>$AW28-SUM($BE28:DT28)</f>
        <v>19.16473671079973</v>
      </c>
      <c r="DU105">
        <f>$AW28-SUM($BE28:DU28)</f>
        <v>18.29412839597012</v>
      </c>
      <c r="DV105">
        <f>$AW28-SUM($BE28:DV28)</f>
        <v>17.472449067870912</v>
      </c>
      <c r="DW105" s="4">
        <f>$AW28-SUM($BE28:DW28)</f>
        <v>16.69640316133416</v>
      </c>
    </row>
    <row r="106" spans="4:127" x14ac:dyDescent="0.25">
      <c r="D106"/>
      <c r="BD106">
        <v>2009</v>
      </c>
      <c r="BE106">
        <f>$AW29-SUM($BE29:BE29)</f>
        <v>486.27132173570425</v>
      </c>
      <c r="BF106">
        <f>$AW29-SUM($BE29:BF29)</f>
        <v>486.27132173570425</v>
      </c>
      <c r="BG106">
        <f>$AW29-SUM($BE29:BG29)</f>
        <v>486.27132173570425</v>
      </c>
      <c r="BH106">
        <f>$AW29-SUM($BE29:BH29)</f>
        <v>486.27132173570425</v>
      </c>
      <c r="BI106">
        <f>$AW29-SUM($BE29:BI29)</f>
        <v>486.27132173570425</v>
      </c>
      <c r="BJ106">
        <f>$AW29-SUM($BE29:BJ29)</f>
        <v>486.27132173570425</v>
      </c>
      <c r="BK106">
        <f>$AW29-SUM($BE29:BK29)</f>
        <v>486.27132173570425</v>
      </c>
      <c r="BL106">
        <f>$AW29-SUM($BE29:BL29)</f>
        <v>486.27132173570425</v>
      </c>
      <c r="BM106">
        <f>$AW29-SUM($BE29:BM29)</f>
        <v>486.27132173570425</v>
      </c>
      <c r="BN106">
        <f>$AW29-SUM($BE29:BN29)</f>
        <v>486.27132173570425</v>
      </c>
      <c r="BO106">
        <f>$AW29-SUM($BE29:BO29)</f>
        <v>486.27132173570425</v>
      </c>
      <c r="BP106">
        <f>$AW29-SUM($BE29:BP29)</f>
        <v>486.27132173570425</v>
      </c>
      <c r="BQ106">
        <f>$AW29-SUM($BE29:BQ29)</f>
        <v>486.27132173570425</v>
      </c>
      <c r="BR106">
        <f>$AW29-SUM($BE29:BR29)</f>
        <v>486.27132173570425</v>
      </c>
      <c r="BS106">
        <f>$AW29-SUM($BE29:BS29)</f>
        <v>486.27132173570425</v>
      </c>
      <c r="BT106">
        <f>$AW29-SUM($BE29:BT29)</f>
        <v>486.27132173570425</v>
      </c>
      <c r="BU106">
        <f>$AW29-SUM($BE29:BU29)</f>
        <v>486.27132173570425</v>
      </c>
      <c r="BV106">
        <f>$AW29-SUM($BE29:BV29)</f>
        <v>486.27132173570425</v>
      </c>
      <c r="BW106">
        <f>$AW29-SUM($BE29:BW29)</f>
        <v>486.27132173570425</v>
      </c>
      <c r="BX106">
        <f>$AW29-SUM($BE29:BX29)</f>
        <v>480.35691290121531</v>
      </c>
      <c r="BY106">
        <f>$AW29-SUM($BE29:BY29)</f>
        <v>455.42265559056739</v>
      </c>
      <c r="BZ106">
        <f>$AW29-SUM($BE29:BZ29)</f>
        <v>420.5319456924064</v>
      </c>
      <c r="CA106">
        <f>$AW29-SUM($BE29:CA29)</f>
        <v>383.40812734676456</v>
      </c>
      <c r="CB106">
        <f>$AW29-SUM($BE29:CB29)</f>
        <v>347.60529926505785</v>
      </c>
      <c r="CC106">
        <f>$AW29-SUM($BE29:CC29)</f>
        <v>314.53277111809291</v>
      </c>
      <c r="CD106">
        <f>$AW29-SUM($BE29:CD29)</f>
        <v>284.6080387974597</v>
      </c>
      <c r="CE106">
        <f>$AW29-SUM($BE29:CE29)</f>
        <v>257.80466815752084</v>
      </c>
      <c r="CF106">
        <f>$AW29-SUM($BE29:CF29)</f>
        <v>233.90907328578444</v>
      </c>
      <c r="CG106">
        <f>$AW29-SUM($BE29:CG29)</f>
        <v>212.64129089509748</v>
      </c>
      <c r="CH106">
        <f>$AW29-SUM($BE29:CH29)</f>
        <v>193.71129285707269</v>
      </c>
      <c r="CI106">
        <f>$AW29-SUM($BE29:CI29)</f>
        <v>176.84420192857345</v>
      </c>
      <c r="CJ106">
        <f>$AW29-SUM($BE29:CJ29)</f>
        <v>161.79036139281635</v>
      </c>
      <c r="CK106">
        <f>$AW29-SUM($BE29:CK29)</f>
        <v>148.32806603377151</v>
      </c>
      <c r="CL106">
        <f>$AW29-SUM($BE29:CL29)</f>
        <v>136.26284315970264</v>
      </c>
      <c r="CM106">
        <f>$AW29-SUM($BE29:CM29)</f>
        <v>125.425236986794</v>
      </c>
      <c r="CN106">
        <f>$AW29-SUM($BE29:CN29)</f>
        <v>115.66807356045911</v>
      </c>
      <c r="CO106">
        <f>$AW29-SUM($BE29:CO29)</f>
        <v>106.86368380742573</v>
      </c>
      <c r="CP106">
        <f>$AW29-SUM($BE29:CP29)</f>
        <v>98.901304854168188</v>
      </c>
      <c r="CQ106">
        <f>$AW29-SUM($BE29:CQ29)</f>
        <v>91.684747500934918</v>
      </c>
      <c r="CR106">
        <f>$AW29-SUM($BE29:CR29)</f>
        <v>85.130351038394508</v>
      </c>
      <c r="CS106">
        <f>$AW29-SUM($BE29:CS29)</f>
        <v>79.165214398802959</v>
      </c>
      <c r="CT106">
        <f>$AW29-SUM($BE29:CT29)</f>
        <v>73.725678558892582</v>
      </c>
      <c r="CU106">
        <f>$AW29-SUM($BE29:CU29)</f>
        <v>68.756030416235546</v>
      </c>
      <c r="CV106">
        <f>$AW29-SUM($BE29:CV29)</f>
        <v>64.207398358991156</v>
      </c>
      <c r="CW106">
        <f>$AW29-SUM($BE29:CW29)</f>
        <v>60.036811933831984</v>
      </c>
      <c r="CX106">
        <f>$AW29-SUM($BE29:CX29)</f>
        <v>56.206401062540181</v>
      </c>
      <c r="CY106">
        <f>$AW29-SUM($BE29:CY29)</f>
        <v>52.682713481214478</v>
      </c>
      <c r="CZ106">
        <f>$AW29-SUM($BE29:CZ29)</f>
        <v>49.436132143640236</v>
      </c>
      <c r="DA106">
        <f>$AW29-SUM($BE29:DA29)</f>
        <v>46.440377096825387</v>
      </c>
      <c r="DB106">
        <f>$AW29-SUM($BE29:DB29)</f>
        <v>43.672078755970574</v>
      </c>
      <c r="DC106">
        <f>$AW29-SUM($BE29:DC29)</f>
        <v>41.110411582504639</v>
      </c>
      <c r="DD106">
        <f>$AW29-SUM($BE29:DD29)</f>
        <v>38.736778930014793</v>
      </c>
      <c r="DE106">
        <f>$AW29-SUM($BE29:DE29)</f>
        <v>36.534541305727373</v>
      </c>
      <c r="DF106">
        <f>$AW29-SUM($BE29:DF29)</f>
        <v>34.488781537933505</v>
      </c>
      <c r="DG106">
        <f>$AW29-SUM($BE29:DG29)</f>
        <v>32.586101378530486</v>
      </c>
      <c r="DH106">
        <f>$AW29-SUM($BE29:DH29)</f>
        <v>30.814444937011103</v>
      </c>
      <c r="DI106">
        <f>$AW29-SUM($BE29:DI29)</f>
        <v>29.162945065882241</v>
      </c>
      <c r="DJ106">
        <f>$AW29-SUM($BE29:DJ29)</f>
        <v>27.621789421607559</v>
      </c>
      <c r="DK106">
        <f>$AW29-SUM($BE29:DK29)</f>
        <v>26.182103429911535</v>
      </c>
      <c r="DL106">
        <f>$AW29-SUM($BE29:DL29)</f>
        <v>24.835847806532399</v>
      </c>
      <c r="DM106">
        <f>$AW29-SUM($BE29:DM29)</f>
        <v>23.575728638270107</v>
      </c>
      <c r="DN106">
        <f>$AW29-SUM($BE29:DN29)</f>
        <v>22.39511832606496</v>
      </c>
      <c r="DO106">
        <f>$AW29-SUM($BE29:DO29)</f>
        <v>21.28798594145519</v>
      </c>
      <c r="DP106">
        <f>$AW29-SUM($BE29:DP29)</f>
        <v>20.24883575804165</v>
      </c>
      <c r="DQ106">
        <f>$AW29-SUM($BE29:DQ29)</f>
        <v>19.272652897078046</v>
      </c>
      <c r="DR106">
        <f>$AW29-SUM($BE29:DR29)</f>
        <v>18.354855176437411</v>
      </c>
      <c r="DS106">
        <f>$AW29-SUM($BE29:DS29)</f>
        <v>17.49125037945106</v>
      </c>
      <c r="DT106">
        <f>$AW29-SUM($BE29:DT29)</f>
        <v>16.677998268191288</v>
      </c>
      <c r="DU106">
        <f>$AW29-SUM($BE29:DU29)</f>
        <v>15.911576757756904</v>
      </c>
      <c r="DV106">
        <f>$AW29-SUM($BE29:DV29)</f>
        <v>15.188751746571256</v>
      </c>
      <c r="DW106" s="4">
        <f>$AW29-SUM($BE29:DW29)</f>
        <v>14.506550164749058</v>
      </c>
    </row>
    <row r="107" spans="4:127" x14ac:dyDescent="0.25">
      <c r="D107"/>
      <c r="BD107">
        <v>2010</v>
      </c>
      <c r="BE107">
        <f>$AW30-SUM($BE30:BE30)</f>
        <v>463.92099215616008</v>
      </c>
      <c r="BF107">
        <f>$AW30-SUM($BE30:BF30)</f>
        <v>463.92099215616008</v>
      </c>
      <c r="BG107">
        <f>$AW30-SUM($BE30:BG30)</f>
        <v>463.92099215616008</v>
      </c>
      <c r="BH107">
        <f>$AW30-SUM($BE30:BH30)</f>
        <v>463.92099215616008</v>
      </c>
      <c r="BI107">
        <f>$AW30-SUM($BE30:BI30)</f>
        <v>463.92099215616008</v>
      </c>
      <c r="BJ107">
        <f>$AW30-SUM($BE30:BJ30)</f>
        <v>463.92099215616008</v>
      </c>
      <c r="BK107">
        <f>$AW30-SUM($BE30:BK30)</f>
        <v>463.92099215616008</v>
      </c>
      <c r="BL107">
        <f>$AW30-SUM($BE30:BL30)</f>
        <v>463.92099215616008</v>
      </c>
      <c r="BM107">
        <f>$AW30-SUM($BE30:BM30)</f>
        <v>463.92099215616008</v>
      </c>
      <c r="BN107">
        <f>$AW30-SUM($BE30:BN30)</f>
        <v>463.92099215616008</v>
      </c>
      <c r="BO107">
        <f>$AW30-SUM($BE30:BO30)</f>
        <v>463.92099215616008</v>
      </c>
      <c r="BP107">
        <f>$AW30-SUM($BE30:BP30)</f>
        <v>463.92099215616008</v>
      </c>
      <c r="BQ107">
        <f>$AW30-SUM($BE30:BQ30)</f>
        <v>463.92099215616008</v>
      </c>
      <c r="BR107">
        <f>$AW30-SUM($BE30:BR30)</f>
        <v>463.92099215616008</v>
      </c>
      <c r="BS107">
        <f>$AW30-SUM($BE30:BS30)</f>
        <v>463.92099215616008</v>
      </c>
      <c r="BT107">
        <f>$AW30-SUM($BE30:BT30)</f>
        <v>463.92099215616008</v>
      </c>
      <c r="BU107">
        <f>$AW30-SUM($BE30:BU30)</f>
        <v>463.92099215616008</v>
      </c>
      <c r="BV107">
        <f>$AW30-SUM($BE30:BV30)</f>
        <v>463.92099215616008</v>
      </c>
      <c r="BW107">
        <f>$AW30-SUM($BE30:BW30)</f>
        <v>463.92099215616008</v>
      </c>
      <c r="BX107">
        <f>$AW30-SUM($BE30:BX30)</f>
        <v>463.92099215616008</v>
      </c>
      <c r="BY107">
        <f>$AW30-SUM($BE30:BY30)</f>
        <v>458.27842535884321</v>
      </c>
      <c r="BZ107">
        <f>$AW30-SUM($BE30:BZ30)</f>
        <v>434.49021315471106</v>
      </c>
      <c r="CA107">
        <f>$AW30-SUM($BE30:CA30)</f>
        <v>401.20317353409109</v>
      </c>
      <c r="CB107">
        <f>$AW30-SUM($BE30:CB30)</f>
        <v>365.7856650985517</v>
      </c>
      <c r="CC107">
        <f>$AW30-SUM($BE30:CC30)</f>
        <v>331.6284306838736</v>
      </c>
      <c r="CD107">
        <f>$AW30-SUM($BE30:CD30)</f>
        <v>300.076004321803</v>
      </c>
      <c r="CE107">
        <f>$AW30-SUM($BE30:CE30)</f>
        <v>271.52669267693261</v>
      </c>
      <c r="CF107">
        <f>$AW30-SUM($BE30:CF30)</f>
        <v>245.95527658760764</v>
      </c>
      <c r="CG107">
        <f>$AW30-SUM($BE30:CG30)</f>
        <v>223.15798712071444</v>
      </c>
      <c r="CH107">
        <f>$AW30-SUM($BE30:CH30)</f>
        <v>202.86772885002119</v>
      </c>
      <c r="CI107">
        <f>$AW30-SUM($BE30:CI30)</f>
        <v>184.80780411506476</v>
      </c>
      <c r="CJ107">
        <f>$AW30-SUM($BE30:CJ30)</f>
        <v>168.71596976545339</v>
      </c>
      <c r="CK107">
        <f>$AW30-SUM($BE30:CK30)</f>
        <v>154.35404397435184</v>
      </c>
      <c r="CL107">
        <f>$AW30-SUM($BE30:CL30)</f>
        <v>141.51051168999919</v>
      </c>
      <c r="CM107">
        <f>$AW30-SUM($BE30:CM30)</f>
        <v>129.99983870532861</v>
      </c>
      <c r="CN107">
        <f>$AW30-SUM($BE30:CN30)</f>
        <v>119.66035787724439</v>
      </c>
      <c r="CO107">
        <f>$AW30-SUM($BE30:CO30)</f>
        <v>110.35165975945711</v>
      </c>
      <c r="CP107">
        <f>$AW30-SUM($BE30:CP30)</f>
        <v>101.95194329051679</v>
      </c>
      <c r="CQ107">
        <f>$AW30-SUM($BE30:CQ30)</f>
        <v>94.355536554595233</v>
      </c>
      <c r="CR107">
        <f>$AW30-SUM($BE30:CR30)</f>
        <v>87.470671464641498</v>
      </c>
      <c r="CS107">
        <f>$AW30-SUM($BE30:CS30)</f>
        <v>81.217532581120679</v>
      </c>
      <c r="CT107">
        <f>$AW30-SUM($BE30:CT30)</f>
        <v>75.526569564201395</v>
      </c>
      <c r="CU107">
        <f>$AW30-SUM($BE30:CU30)</f>
        <v>70.337049329463412</v>
      </c>
      <c r="CV107">
        <f>$AW30-SUM($BE30:CV30)</f>
        <v>65.595819497568129</v>
      </c>
      <c r="CW107">
        <f>$AW30-SUM($BE30:CW30)</f>
        <v>61.256254726571683</v>
      </c>
      <c r="CX107">
        <f>$AW30-SUM($BE30:CX30)</f>
        <v>57.2773596000265</v>
      </c>
      <c r="CY107">
        <f>$AW30-SUM($BE30:CY30)</f>
        <v>53.6230046497231</v>
      </c>
      <c r="CZ107">
        <f>$AW30-SUM($BE30:CZ30)</f>
        <v>50.261275167215331</v>
      </c>
      <c r="DA107">
        <f>$AW30-SUM($BE30:DA30)</f>
        <v>47.163915384888469</v>
      </c>
      <c r="DB107">
        <f>$AW30-SUM($BE30:DB30)</f>
        <v>44.305853246627066</v>
      </c>
      <c r="DC107">
        <f>$AW30-SUM($BE30:DC30)</f>
        <v>41.66479329620779</v>
      </c>
      <c r="DD107">
        <f>$AW30-SUM($BE30:DD30)</f>
        <v>39.220867192471587</v>
      </c>
      <c r="DE107">
        <f>$AW30-SUM($BE30:DE30)</f>
        <v>36.956333040577135</v>
      </c>
      <c r="DF107">
        <f>$AW30-SUM($BE30:DF30)</f>
        <v>34.855316143310176</v>
      </c>
      <c r="DG107">
        <f>$AW30-SUM($BE30:DG30)</f>
        <v>32.903584962041919</v>
      </c>
      <c r="DH107">
        <f>$AW30-SUM($BE30:DH30)</f>
        <v>31.088357067961283</v>
      </c>
      <c r="DI107">
        <f>$AW30-SUM($BE30:DI30)</f>
        <v>29.398130691509948</v>
      </c>
      <c r="DJ107">
        <f>$AW30-SUM($BE30:DJ30)</f>
        <v>27.822538168337701</v>
      </c>
      <c r="DK107">
        <f>$AW30-SUM($BE30:DK30)</f>
        <v>26.352218156442007</v>
      </c>
      <c r="DL107">
        <f>$AW30-SUM($BE30:DL30)</f>
        <v>24.97870398069972</v>
      </c>
      <c r="DM107">
        <f>$AW30-SUM($BE30:DM30)</f>
        <v>23.694325863839879</v>
      </c>
      <c r="DN107">
        <f>$AW30-SUM($BE30:DN30)</f>
        <v>22.492125140407211</v>
      </c>
      <c r="DO107">
        <f>$AW30-SUM($BE30:DO30)</f>
        <v>21.365778833507989</v>
      </c>
      <c r="DP107">
        <f>$AW30-SUM($BE30:DP30)</f>
        <v>20.309533212271162</v>
      </c>
      <c r="DQ107">
        <f>$AW30-SUM($BE30:DQ30)</f>
        <v>19.318145148571034</v>
      </c>
      <c r="DR107">
        <f>$AW30-SUM($BE30:DR30)</f>
        <v>18.386830260891486</v>
      </c>
      <c r="DS107">
        <f>$AW30-SUM($BE30:DS30)</f>
        <v>17.511216976442711</v>
      </c>
      <c r="DT107">
        <f>$AW30-SUM($BE30:DT30)</f>
        <v>16.687305764038342</v>
      </c>
      <c r="DU107">
        <f>$AW30-SUM($BE30:DU30)</f>
        <v>15.911432893349513</v>
      </c>
      <c r="DV107">
        <f>$AW30-SUM($BE30:DV30)</f>
        <v>15.180238163910417</v>
      </c>
      <c r="DW107" s="4">
        <f>$AW30-SUM($BE30:DW30)</f>
        <v>14.490636122096419</v>
      </c>
    </row>
    <row r="108" spans="4:127" x14ac:dyDescent="0.25">
      <c r="D108"/>
      <c r="BD108">
        <v>2011</v>
      </c>
      <c r="BE108">
        <f>$AW31-SUM($BE31:BE31)</f>
        <v>468.77361186808747</v>
      </c>
      <c r="BF108">
        <f>$AW31-SUM($BE31:BF31)</f>
        <v>468.77361186808747</v>
      </c>
      <c r="BG108">
        <f>$AW31-SUM($BE31:BG31)</f>
        <v>468.77361186808747</v>
      </c>
      <c r="BH108">
        <f>$AW31-SUM($BE31:BH31)</f>
        <v>468.77361186808747</v>
      </c>
      <c r="BI108">
        <f>$AW31-SUM($BE31:BI31)</f>
        <v>468.77361186808747</v>
      </c>
      <c r="BJ108">
        <f>$AW31-SUM($BE31:BJ31)</f>
        <v>468.77361186808747</v>
      </c>
      <c r="BK108">
        <f>$AW31-SUM($BE31:BK31)</f>
        <v>468.77361186808747</v>
      </c>
      <c r="BL108">
        <f>$AW31-SUM($BE31:BL31)</f>
        <v>468.77361186808747</v>
      </c>
      <c r="BM108">
        <f>$AW31-SUM($BE31:BM31)</f>
        <v>468.77361186808747</v>
      </c>
      <c r="BN108">
        <f>$AW31-SUM($BE31:BN31)</f>
        <v>468.77361186808747</v>
      </c>
      <c r="BO108">
        <f>$AW31-SUM($BE31:BO31)</f>
        <v>468.77361186808747</v>
      </c>
      <c r="BP108">
        <f>$AW31-SUM($BE31:BP31)</f>
        <v>468.77361186808747</v>
      </c>
      <c r="BQ108">
        <f>$AW31-SUM($BE31:BQ31)</f>
        <v>468.77361186808747</v>
      </c>
      <c r="BR108">
        <f>$AW31-SUM($BE31:BR31)</f>
        <v>468.77361186808747</v>
      </c>
      <c r="BS108">
        <f>$AW31-SUM($BE31:BS31)</f>
        <v>468.77361186808747</v>
      </c>
      <c r="BT108">
        <f>$AW31-SUM($BE31:BT31)</f>
        <v>468.77361186808747</v>
      </c>
      <c r="BU108">
        <f>$AW31-SUM($BE31:BU31)</f>
        <v>468.77361186808747</v>
      </c>
      <c r="BV108">
        <f>$AW31-SUM($BE31:BV31)</f>
        <v>468.77361186808747</v>
      </c>
      <c r="BW108">
        <f>$AW31-SUM($BE31:BW31)</f>
        <v>468.77361186808747</v>
      </c>
      <c r="BX108">
        <f>$AW31-SUM($BE31:BX31)</f>
        <v>468.77361186808747</v>
      </c>
      <c r="BY108">
        <f>$AW31-SUM($BE31:BY31)</f>
        <v>468.77361186808747</v>
      </c>
      <c r="BZ108">
        <f>$AW31-SUM($BE31:BZ31)</f>
        <v>463.07202374746453</v>
      </c>
      <c r="CA108">
        <f>$AW31-SUM($BE31:CA31)</f>
        <v>439.03498652914885</v>
      </c>
      <c r="CB108">
        <f>$AW31-SUM($BE31:CB31)</f>
        <v>405.3997640339752</v>
      </c>
      <c r="CC108">
        <f>$AW31-SUM($BE31:CC31)</f>
        <v>369.61178799190895</v>
      </c>
      <c r="CD108">
        <f>$AW31-SUM($BE31:CD31)</f>
        <v>335.09726845362559</v>
      </c>
      <c r="CE108">
        <f>$AW31-SUM($BE31:CE31)</f>
        <v>303.21480329462088</v>
      </c>
      <c r="CF108">
        <f>$AW31-SUM($BE31:CF31)</f>
        <v>274.36686547246546</v>
      </c>
      <c r="CG108">
        <f>$AW31-SUM($BE31:CG31)</f>
        <v>248.52797203274028</v>
      </c>
      <c r="CH108">
        <f>$AW31-SUM($BE31:CH31)</f>
        <v>225.49222261659708</v>
      </c>
      <c r="CI108">
        <f>$AW31-SUM($BE31:CI31)</f>
        <v>204.98972797611412</v>
      </c>
      <c r="CJ108">
        <f>$AW31-SUM($BE31:CJ31)</f>
        <v>186.74089618964132</v>
      </c>
      <c r="CK108">
        <f>$AW31-SUM($BE31:CK31)</f>
        <v>170.4807410399664</v>
      </c>
      <c r="CL108">
        <f>$AW31-SUM($BE31:CL31)</f>
        <v>155.9685893151962</v>
      </c>
      <c r="CM108">
        <f>$AW31-SUM($BE31:CM31)</f>
        <v>142.99071351333174</v>
      </c>
      <c r="CN108">
        <f>$AW31-SUM($BE31:CN31)</f>
        <v>131.35963873704713</v>
      </c>
      <c r="CO108">
        <f>$AW31-SUM($BE31:CO31)</f>
        <v>120.91200680279229</v>
      </c>
      <c r="CP108">
        <f>$AW31-SUM($BE31:CP31)</f>
        <v>111.50593957961314</v>
      </c>
      <c r="CQ108">
        <f>$AW31-SUM($BE31:CQ31)</f>
        <v>103.01836196534651</v>
      </c>
      <c r="CR108">
        <f>$AW31-SUM($BE31:CR31)</f>
        <v>95.342496714527385</v>
      </c>
      <c r="CS108">
        <f>$AW31-SUM($BE31:CS31)</f>
        <v>88.385615844700908</v>
      </c>
      <c r="CT108">
        <f>$AW31-SUM($BE31:CT31)</f>
        <v>82.067069045779363</v>
      </c>
      <c r="CU108">
        <f>$AW31-SUM($BE31:CU31)</f>
        <v>76.316578480457054</v>
      </c>
      <c r="CV108">
        <f>$AW31-SUM($BE31:CV31)</f>
        <v>71.072775795447797</v>
      </c>
      <c r="CW108">
        <f>$AW31-SUM($BE31:CW31)</f>
        <v>66.281952636822211</v>
      </c>
      <c r="CX108">
        <f>$AW31-SUM($BE31:CX31)</f>
        <v>61.896995960943343</v>
      </c>
      <c r="CY108">
        <f>$AW31-SUM($BE31:CY31)</f>
        <v>57.876481538765461</v>
      </c>
      <c r="CZ108">
        <f>$AW31-SUM($BE31:CZ31)</f>
        <v>54.183901987363924</v>
      </c>
      <c r="DA108">
        <f>$AW31-SUM($BE31:DA31)</f>
        <v>50.787008770020236</v>
      </c>
      <c r="DB108">
        <f>$AW31-SUM($BE31:DB31)</f>
        <v>47.657250563416824</v>
      </c>
      <c r="DC108">
        <f>$AW31-SUM($BE31:DC31)</f>
        <v>44.769293057399807</v>
      </c>
      <c r="DD108">
        <f>$AW31-SUM($BE31:DD31)</f>
        <v>42.100607584979002</v>
      </c>
      <c r="DE108">
        <f>$AW31-SUM($BE31:DE31)</f>
        <v>39.631117981884074</v>
      </c>
      <c r="DF108">
        <f>$AW31-SUM($BE31:DF31)</f>
        <v>37.342896772819074</v>
      </c>
      <c r="DG108">
        <f>$AW31-SUM($BE31:DG31)</f>
        <v>35.219903211026974</v>
      </c>
      <c r="DH108">
        <f>$AW31-SUM($BE31:DH31)</f>
        <v>33.24775689579684</v>
      </c>
      <c r="DI108">
        <f>$AW31-SUM($BE31:DI31)</f>
        <v>31.413541693943159</v>
      </c>
      <c r="DJ108">
        <f>$AW31-SUM($BE31:DJ31)</f>
        <v>29.705635527245931</v>
      </c>
      <c r="DK108">
        <f>$AW31-SUM($BE31:DK31)</f>
        <v>28.113562285448779</v>
      </c>
      <c r="DL108">
        <f>$AW31-SUM($BE31:DL31)</f>
        <v>26.627862706788051</v>
      </c>
      <c r="DM108">
        <f>$AW31-SUM($BE31:DM31)</f>
        <v>25.239981554606857</v>
      </c>
      <c r="DN108">
        <f>$AW31-SUM($BE31:DN31)</f>
        <v>23.942168825662577</v>
      </c>
      <c r="DO108">
        <f>$AW31-SUM($BE31:DO31)</f>
        <v>22.727393066767263</v>
      </c>
      <c r="DP108">
        <f>$AW31-SUM($BE31:DP31)</f>
        <v>21.589265162605329</v>
      </c>
      <c r="DQ108">
        <f>$AW31-SUM($BE31:DQ31)</f>
        <v>20.521971198204653</v>
      </c>
      <c r="DR108">
        <f>$AW31-SUM($BE31:DR31)</f>
        <v>19.520213202250034</v>
      </c>
      <c r="DS108">
        <f>$AW31-SUM($BE31:DS31)</f>
        <v>18.579156748531489</v>
      </c>
      <c r="DT108">
        <f>$AW31-SUM($BE31:DT31)</f>
        <v>17.694384537549979</v>
      </c>
      <c r="DU108">
        <f>$AW31-SUM($BE31:DU31)</f>
        <v>16.861855202970105</v>
      </c>
      <c r="DV108">
        <f>$AW31-SUM($BE31:DV31)</f>
        <v>16.077866691795293</v>
      </c>
      <c r="DW108" s="4">
        <f>$AW31-SUM($BE31:DW31)</f>
        <v>15.33902365581838</v>
      </c>
    </row>
    <row r="109" spans="4:127" x14ac:dyDescent="0.25">
      <c r="D109"/>
      <c r="BD109">
        <v>2012</v>
      </c>
      <c r="BE109">
        <f>$AW32-SUM($BE32:BE32)</f>
        <v>412.26059348746486</v>
      </c>
      <c r="BF109">
        <f>$AW32-SUM($BE32:BF32)</f>
        <v>412.26059348746486</v>
      </c>
      <c r="BG109">
        <f>$AW32-SUM($BE32:BG32)</f>
        <v>412.26059348746486</v>
      </c>
      <c r="BH109">
        <f>$AW32-SUM($BE32:BH32)</f>
        <v>412.26059348746486</v>
      </c>
      <c r="BI109">
        <f>$AW32-SUM($BE32:BI32)</f>
        <v>412.26059348746486</v>
      </c>
      <c r="BJ109">
        <f>$AW32-SUM($BE32:BJ32)</f>
        <v>412.26059348746486</v>
      </c>
      <c r="BK109">
        <f>$AW32-SUM($BE32:BK32)</f>
        <v>412.26059348746486</v>
      </c>
      <c r="BL109">
        <f>$AW32-SUM($BE32:BL32)</f>
        <v>412.26059348746486</v>
      </c>
      <c r="BM109">
        <f>$AW32-SUM($BE32:BM32)</f>
        <v>412.26059348746486</v>
      </c>
      <c r="BN109">
        <f>$AW32-SUM($BE32:BN32)</f>
        <v>412.26059348746486</v>
      </c>
      <c r="BO109">
        <f>$AW32-SUM($BE32:BO32)</f>
        <v>412.26059348746486</v>
      </c>
      <c r="BP109">
        <f>$AW32-SUM($BE32:BP32)</f>
        <v>412.26059348746486</v>
      </c>
      <c r="BQ109">
        <f>$AW32-SUM($BE32:BQ32)</f>
        <v>412.26059348746486</v>
      </c>
      <c r="BR109">
        <f>$AW32-SUM($BE32:BR32)</f>
        <v>412.26059348746486</v>
      </c>
      <c r="BS109">
        <f>$AW32-SUM($BE32:BS32)</f>
        <v>412.26059348746486</v>
      </c>
      <c r="BT109">
        <f>$AW32-SUM($BE32:BT32)</f>
        <v>412.26059348746486</v>
      </c>
      <c r="BU109">
        <f>$AW32-SUM($BE32:BU32)</f>
        <v>412.26059348746486</v>
      </c>
      <c r="BV109">
        <f>$AW32-SUM($BE32:BV32)</f>
        <v>412.26059348746486</v>
      </c>
      <c r="BW109">
        <f>$AW32-SUM($BE32:BW32)</f>
        <v>412.26059348746486</v>
      </c>
      <c r="BX109">
        <f>$AW32-SUM($BE32:BX32)</f>
        <v>412.26059348746486</v>
      </c>
      <c r="BY109">
        <f>$AW32-SUM($BE32:BY32)</f>
        <v>412.26059348746486</v>
      </c>
      <c r="BZ109">
        <f>$AW32-SUM($BE32:BZ32)</f>
        <v>412.26059348746486</v>
      </c>
      <c r="CA109">
        <f>$AW32-SUM($BE32:CA32)</f>
        <v>407.24636051248558</v>
      </c>
      <c r="CB109">
        <f>$AW32-SUM($BE32:CB32)</f>
        <v>386.10710911603189</v>
      </c>
      <c r="CC109">
        <f>$AW32-SUM($BE32:CC32)</f>
        <v>356.52678198822161</v>
      </c>
      <c r="CD109">
        <f>$AW32-SUM($BE32:CD32)</f>
        <v>325.05322658901287</v>
      </c>
      <c r="CE109">
        <f>$AW32-SUM($BE32:CE32)</f>
        <v>294.69960610238996</v>
      </c>
      <c r="CF109">
        <f>$AW32-SUM($BE32:CF32)</f>
        <v>266.66073259175096</v>
      </c>
      <c r="CG109">
        <f>$AW32-SUM($BE32:CG32)</f>
        <v>241.29055887387128</v>
      </c>
      <c r="CH109">
        <f>$AW32-SUM($BE32:CH32)</f>
        <v>218.56667409275005</v>
      </c>
      <c r="CI109">
        <f>$AW32-SUM($BE32:CI32)</f>
        <v>198.30800021415277</v>
      </c>
      <c r="CJ109">
        <f>$AW32-SUM($BE32:CJ32)</f>
        <v>180.27718449742349</v>
      </c>
      <c r="CK109">
        <f>$AW32-SUM($BE32:CK32)</f>
        <v>164.22834123433205</v>
      </c>
      <c r="CL109">
        <f>$AW32-SUM($BE32:CL32)</f>
        <v>149.92842962990164</v>
      </c>
      <c r="CM109">
        <f>$AW32-SUM($BE32:CM32)</f>
        <v>137.16579083930895</v>
      </c>
      <c r="CN109">
        <f>$AW32-SUM($BE32:CN32)</f>
        <v>125.75246328667185</v>
      </c>
      <c r="CO109">
        <f>$AW32-SUM($BE32:CO32)</f>
        <v>115.52357311715122</v>
      </c>
      <c r="CP109">
        <f>$AW32-SUM($BE32:CP32)</f>
        <v>106.33545579845168</v>
      </c>
      <c r="CQ109">
        <f>$AW32-SUM($BE32:CQ32)</f>
        <v>98.06333732241842</v>
      </c>
      <c r="CR109">
        <f>$AW32-SUM($BE32:CR32)</f>
        <v>90.598979909925788</v>
      </c>
      <c r="CS109">
        <f>$AW32-SUM($BE32:CS32)</f>
        <v>83.848478849889602</v>
      </c>
      <c r="CT109">
        <f>$AW32-SUM($BE32:CT32)</f>
        <v>77.730284984866046</v>
      </c>
      <c r="CU109">
        <f>$AW32-SUM($BE32:CU32)</f>
        <v>72.173470805584259</v>
      </c>
      <c r="CV109">
        <f>$AW32-SUM($BE32:CV32)</f>
        <v>67.116230821753959</v>
      </c>
      <c r="CW109">
        <f>$AW32-SUM($BE32:CW32)</f>
        <v>62.50459494396182</v>
      </c>
      <c r="CX109">
        <f>$AW32-SUM($BE32:CX32)</f>
        <v>58.291329630673999</v>
      </c>
      <c r="CY109">
        <f>$AW32-SUM($BE32:CY32)</f>
        <v>54.435001552797132</v>
      </c>
      <c r="CZ109">
        <f>$AW32-SUM($BE32:CZ32)</f>
        <v>50.899180380596874</v>
      </c>
      <c r="DA109">
        <f>$AW32-SUM($BE32:DA32)</f>
        <v>47.651759879912106</v>
      </c>
      <c r="DB109">
        <f>$AW32-SUM($BE32:DB32)</f>
        <v>44.664379237441722</v>
      </c>
      <c r="DC109">
        <f>$AW32-SUM($BE32:DC32)</f>
        <v>41.911929135600985</v>
      </c>
      <c r="DD109">
        <f>$AW32-SUM($BE32:DD32)</f>
        <v>39.372129442839707</v>
      </c>
      <c r="DE109">
        <f>$AW32-SUM($BE32:DE32)</f>
        <v>37.025167436366587</v>
      </c>
      <c r="DF109">
        <f>$AW32-SUM($BE32:DF32)</f>
        <v>34.853387234563058</v>
      </c>
      <c r="DG109">
        <f>$AW32-SUM($BE32:DG32)</f>
        <v>32.841022609514198</v>
      </c>
      <c r="DH109">
        <f>$AW32-SUM($BE32:DH32)</f>
        <v>30.973966607222053</v>
      </c>
      <c r="DI109">
        <f>$AW32-SUM($BE32:DI32)</f>
        <v>29.239572456662074</v>
      </c>
      <c r="DJ109">
        <f>$AW32-SUM($BE32:DJ32)</f>
        <v>27.626481129514787</v>
      </c>
      <c r="DK109">
        <f>$AW32-SUM($BE32:DK32)</f>
        <v>26.124471647586802</v>
      </c>
      <c r="DL109">
        <f>$AW32-SUM($BE32:DL32)</f>
        <v>24.724330848442378</v>
      </c>
      <c r="DM109">
        <f>$AW32-SUM($BE32:DM32)</f>
        <v>23.417739831934568</v>
      </c>
      <c r="DN109">
        <f>$AW32-SUM($BE32:DN32)</f>
        <v>22.197174738246417</v>
      </c>
      <c r="DO109">
        <f>$AW32-SUM($BE32:DO32)</f>
        <v>21.055819866034199</v>
      </c>
      <c r="DP109">
        <f>$AW32-SUM($BE32:DP32)</f>
        <v>19.987491439183032</v>
      </c>
      <c r="DQ109">
        <f>$AW32-SUM($BE32:DQ32)</f>
        <v>18.986570582386832</v>
      </c>
      <c r="DR109">
        <f>$AW32-SUM($BE32:DR32)</f>
        <v>18.047944277386478</v>
      </c>
      <c r="DS109">
        <f>$AW32-SUM($BE32:DS32)</f>
        <v>17.166953249974995</v>
      </c>
      <c r="DT109">
        <f>$AW32-SUM($BE32:DT32)</f>
        <v>16.339345888355012</v>
      </c>
      <c r="DU109">
        <f>$AW32-SUM($BE32:DU32)</f>
        <v>15.561237420715656</v>
      </c>
      <c r="DV109">
        <f>$AW32-SUM($BE32:DV32)</f>
        <v>14.829073687774553</v>
      </c>
      <c r="DW109" s="4">
        <f>$AW32-SUM($BE32:DW32)</f>
        <v>14.139598937657354</v>
      </c>
    </row>
    <row r="110" spans="4:127" x14ac:dyDescent="0.25">
      <c r="D110"/>
      <c r="BD110">
        <v>2013</v>
      </c>
      <c r="BE110">
        <f>$AW33-SUM($BE33:BE33)</f>
        <v>409.95795618567365</v>
      </c>
      <c r="BF110">
        <f>$AW33-SUM($BE33:BF33)</f>
        <v>409.95795618567365</v>
      </c>
      <c r="BG110">
        <f>$AW33-SUM($BE33:BG33)</f>
        <v>409.95795618567365</v>
      </c>
      <c r="BH110">
        <f>$AW33-SUM($BE33:BH33)</f>
        <v>409.95795618567365</v>
      </c>
      <c r="BI110">
        <f>$AW33-SUM($BE33:BI33)</f>
        <v>409.95795618567365</v>
      </c>
      <c r="BJ110">
        <f>$AW33-SUM($BE33:BJ33)</f>
        <v>409.95795618567365</v>
      </c>
      <c r="BK110">
        <f>$AW33-SUM($BE33:BK33)</f>
        <v>409.95795618567365</v>
      </c>
      <c r="BL110">
        <f>$AW33-SUM($BE33:BL33)</f>
        <v>409.95795618567365</v>
      </c>
      <c r="BM110">
        <f>$AW33-SUM($BE33:BM33)</f>
        <v>409.95795618567365</v>
      </c>
      <c r="BN110">
        <f>$AW33-SUM($BE33:BN33)</f>
        <v>409.95795618567365</v>
      </c>
      <c r="BO110">
        <f>$AW33-SUM($BE33:BO33)</f>
        <v>409.95795618567365</v>
      </c>
      <c r="BP110">
        <f>$AW33-SUM($BE33:BP33)</f>
        <v>409.95795618567365</v>
      </c>
      <c r="BQ110">
        <f>$AW33-SUM($BE33:BQ33)</f>
        <v>409.95795618567365</v>
      </c>
      <c r="BR110">
        <f>$AW33-SUM($BE33:BR33)</f>
        <v>409.95795618567365</v>
      </c>
      <c r="BS110">
        <f>$AW33-SUM($BE33:BS33)</f>
        <v>409.95795618567365</v>
      </c>
      <c r="BT110">
        <f>$AW33-SUM($BE33:BT33)</f>
        <v>409.95795618567365</v>
      </c>
      <c r="BU110">
        <f>$AW33-SUM($BE33:BU33)</f>
        <v>409.95795618567365</v>
      </c>
      <c r="BV110">
        <f>$AW33-SUM($BE33:BV33)</f>
        <v>409.95795618567365</v>
      </c>
      <c r="BW110">
        <f>$AW33-SUM($BE33:BW33)</f>
        <v>409.95795618567365</v>
      </c>
      <c r="BX110">
        <f>$AW33-SUM($BE33:BX33)</f>
        <v>409.95795618567365</v>
      </c>
      <c r="BY110">
        <f>$AW33-SUM($BE33:BY33)</f>
        <v>409.95795618567365</v>
      </c>
      <c r="BZ110">
        <f>$AW33-SUM($BE33:BZ33)</f>
        <v>409.95795618567365</v>
      </c>
      <c r="CA110">
        <f>$AW33-SUM($BE33:CA33)</f>
        <v>409.95795618567365</v>
      </c>
      <c r="CB110">
        <f>$AW33-SUM($BE33:CB33)</f>
        <v>404.97172967085686</v>
      </c>
      <c r="CC110">
        <f>$AW33-SUM($BE33:CC33)</f>
        <v>383.95054929444814</v>
      </c>
      <c r="CD110">
        <f>$AW33-SUM($BE33:CD33)</f>
        <v>354.53543990929791</v>
      </c>
      <c r="CE110">
        <f>$AW33-SUM($BE33:CE33)</f>
        <v>323.23767667608092</v>
      </c>
      <c r="CF110">
        <f>$AW33-SUM($BE33:CF33)</f>
        <v>293.05359307918508</v>
      </c>
      <c r="CG110">
        <f>$AW33-SUM($BE33:CG33)</f>
        <v>265.17132768745364</v>
      </c>
      <c r="CH110">
        <f>$AW33-SUM($BE33:CH33)</f>
        <v>239.94285635218964</v>
      </c>
      <c r="CI110">
        <f>$AW33-SUM($BE33:CI33)</f>
        <v>217.34589339082319</v>
      </c>
      <c r="CJ110">
        <f>$AW33-SUM($BE33:CJ33)</f>
        <v>197.20037216104706</v>
      </c>
      <c r="CK110">
        <f>$AW33-SUM($BE33:CK33)</f>
        <v>179.2702656304659</v>
      </c>
      <c r="CL110">
        <f>$AW33-SUM($BE33:CL33)</f>
        <v>163.31106145908481</v>
      </c>
      <c r="CM110">
        <f>$AW33-SUM($BE33:CM33)</f>
        <v>149.09102047627778</v>
      </c>
      <c r="CN110">
        <f>$AW33-SUM($BE33:CN33)</f>
        <v>136.39966603498442</v>
      </c>
      <c r="CO110">
        <f>$AW33-SUM($BE33:CO33)</f>
        <v>125.05008639853293</v>
      </c>
      <c r="CP110">
        <f>$AW33-SUM($BE33:CP33)</f>
        <v>114.87832859730634</v>
      </c>
      <c r="CQ110">
        <f>$AW33-SUM($BE33:CQ33)</f>
        <v>105.74153052183669</v>
      </c>
      <c r="CR110">
        <f>$AW33-SUM($BE33:CR33)</f>
        <v>97.515615075801122</v>
      </c>
      <c r="CS110">
        <f>$AW33-SUM($BE33:CS33)</f>
        <v>90.092949030573379</v>
      </c>
      <c r="CT110">
        <f>$AW33-SUM($BE33:CT33)</f>
        <v>83.38015216975532</v>
      </c>
      <c r="CU110">
        <f>$AW33-SUM($BE33:CU33)</f>
        <v>77.296130819970301</v>
      </c>
      <c r="CV110">
        <f>$AW33-SUM($BE33:CV33)</f>
        <v>71.770353629938654</v>
      </c>
      <c r="CW110">
        <f>$AW33-SUM($BE33:CW33)</f>
        <v>66.741360317303304</v>
      </c>
      <c r="CX110">
        <f>$AW33-SUM($BE33:CX33)</f>
        <v>62.155482236793318</v>
      </c>
      <c r="CY110">
        <f>$AW33-SUM($BE33:CY33)</f>
        <v>57.965749664752138</v>
      </c>
      <c r="CZ110">
        <f>$AW33-SUM($BE33:CZ33)</f>
        <v>54.130960693499446</v>
      </c>
      <c r="DA110">
        <f>$AW33-SUM($BE33:DA33)</f>
        <v>50.614888470997982</v>
      </c>
      <c r="DB110">
        <f>$AW33-SUM($BE33:DB33)</f>
        <v>47.385606089011901</v>
      </c>
      <c r="DC110">
        <f>$AW33-SUM($BE33:DC33)</f>
        <v>44.414911140519223</v>
      </c>
      <c r="DD110">
        <f>$AW33-SUM($BE33:DD33)</f>
        <v>41.677834553333867</v>
      </c>
      <c r="DE110">
        <f>$AW33-SUM($BE33:DE33)</f>
        <v>39.152220639189409</v>
      </c>
      <c r="DF110">
        <f>$AW33-SUM($BE33:DF33)</f>
        <v>36.818367337131349</v>
      </c>
      <c r="DG110">
        <f>$AW33-SUM($BE33:DG33)</f>
        <v>34.65871738057308</v>
      </c>
      <c r="DH110">
        <f>$AW33-SUM($BE33:DH33)</f>
        <v>32.657592602173736</v>
      </c>
      <c r="DI110">
        <f>$AW33-SUM($BE33:DI33)</f>
        <v>30.800964840813037</v>
      </c>
      <c r="DJ110">
        <f>$AW33-SUM($BE33:DJ33)</f>
        <v>29.07625796264864</v>
      </c>
      <c r="DK110">
        <f>$AW33-SUM($BE33:DK33)</f>
        <v>27.472176383994793</v>
      </c>
      <c r="DL110">
        <f>$AW33-SUM($BE33:DL33)</f>
        <v>25.978556214834953</v>
      </c>
      <c r="DM110">
        <f>$AW33-SUM($BE33:DM33)</f>
        <v>24.586235751863342</v>
      </c>
      <c r="DN110">
        <f>$AW33-SUM($BE33:DN33)</f>
        <v>23.286942559257056</v>
      </c>
      <c r="DO110">
        <f>$AW33-SUM($BE33:DO33)</f>
        <v>22.073194800910699</v>
      </c>
      <c r="DP110">
        <f>$AW33-SUM($BE33:DP33)</f>
        <v>20.938214843848868</v>
      </c>
      <c r="DQ110">
        <f>$AW33-SUM($BE33:DQ33)</f>
        <v>19.875853450774628</v>
      </c>
      <c r="DR110">
        <f>$AW33-SUM($BE33:DR33)</f>
        <v>18.880523130006907</v>
      </c>
      <c r="DS110">
        <f>$AW33-SUM($BE33:DS33)</f>
        <v>17.947139421501277</v>
      </c>
      <c r="DT110">
        <f>$AW33-SUM($BE33:DT33)</f>
        <v>17.071069074926868</v>
      </c>
      <c r="DU110">
        <f>$AW33-SUM($BE33:DU33)</f>
        <v>16.248084225407752</v>
      </c>
      <c r="DV110">
        <f>$AW33-SUM($BE33:DV33)</f>
        <v>15.474321799109021</v>
      </c>
      <c r="DW110" s="4">
        <f>$AW33-SUM($BE33:DW33)</f>
        <v>14.746247488123629</v>
      </c>
    </row>
    <row r="111" spans="4:127" x14ac:dyDescent="0.25">
      <c r="D111"/>
      <c r="BD111">
        <v>2014</v>
      </c>
      <c r="BE111">
        <f>$AW34-SUM($BE34:BE34)</f>
        <v>408.96166444922886</v>
      </c>
      <c r="BF111">
        <f>$AW34-SUM($BE34:BF34)</f>
        <v>408.96166444922886</v>
      </c>
      <c r="BG111">
        <f>$AW34-SUM($BE34:BG34)</f>
        <v>408.96166444922886</v>
      </c>
      <c r="BH111">
        <f>$AW34-SUM($BE34:BH34)</f>
        <v>408.96166444922886</v>
      </c>
      <c r="BI111">
        <f>$AW34-SUM($BE34:BI34)</f>
        <v>408.96166444922886</v>
      </c>
      <c r="BJ111">
        <f>$AW34-SUM($BE34:BJ34)</f>
        <v>408.96166444922886</v>
      </c>
      <c r="BK111">
        <f>$AW34-SUM($BE34:BK34)</f>
        <v>408.96166444922886</v>
      </c>
      <c r="BL111">
        <f>$AW34-SUM($BE34:BL34)</f>
        <v>408.96166444922886</v>
      </c>
      <c r="BM111">
        <f>$AW34-SUM($BE34:BM34)</f>
        <v>408.96166444922886</v>
      </c>
      <c r="BN111">
        <f>$AW34-SUM($BE34:BN34)</f>
        <v>408.96166444922886</v>
      </c>
      <c r="BO111">
        <f>$AW34-SUM($BE34:BO34)</f>
        <v>408.96166444922886</v>
      </c>
      <c r="BP111">
        <f>$AW34-SUM($BE34:BP34)</f>
        <v>408.96166444922886</v>
      </c>
      <c r="BQ111">
        <f>$AW34-SUM($BE34:BQ34)</f>
        <v>408.96166444922886</v>
      </c>
      <c r="BR111">
        <f>$AW34-SUM($BE34:BR34)</f>
        <v>408.96166444922886</v>
      </c>
      <c r="BS111">
        <f>$AW34-SUM($BE34:BS34)</f>
        <v>408.96166444922886</v>
      </c>
      <c r="BT111">
        <f>$AW34-SUM($BE34:BT34)</f>
        <v>408.96166444922886</v>
      </c>
      <c r="BU111">
        <f>$AW34-SUM($BE34:BU34)</f>
        <v>408.96166444922886</v>
      </c>
      <c r="BV111">
        <f>$AW34-SUM($BE34:BV34)</f>
        <v>408.96166444922886</v>
      </c>
      <c r="BW111">
        <f>$AW34-SUM($BE34:BW34)</f>
        <v>408.96166444922886</v>
      </c>
      <c r="BX111">
        <f>$AW34-SUM($BE34:BX34)</f>
        <v>408.96166444922886</v>
      </c>
      <c r="BY111">
        <f>$AW34-SUM($BE34:BY34)</f>
        <v>408.96166444922886</v>
      </c>
      <c r="BZ111">
        <f>$AW34-SUM($BE34:BZ34)</f>
        <v>408.96166444922886</v>
      </c>
      <c r="CA111">
        <f>$AW34-SUM($BE34:CA34)</f>
        <v>408.96166444922886</v>
      </c>
      <c r="CB111">
        <f>$AW34-SUM($BE34:CB34)</f>
        <v>408.96166444922886</v>
      </c>
      <c r="CC111">
        <f>$AW34-SUM($BE34:CC34)</f>
        <v>403.9875556069631</v>
      </c>
      <c r="CD111">
        <f>$AW34-SUM($BE34:CD34)</f>
        <v>383.01746151387522</v>
      </c>
      <c r="CE111">
        <f>$AW34-SUM($BE34:CE34)</f>
        <v>353.67383758220831</v>
      </c>
      <c r="CF111">
        <f>$AW34-SUM($BE34:CF34)</f>
        <v>322.45213508255677</v>
      </c>
      <c r="CG111">
        <f>$AW34-SUM($BE34:CG34)</f>
        <v>292.34140572261623</v>
      </c>
      <c r="CH111">
        <f>$AW34-SUM($BE34:CH34)</f>
        <v>264.5269006223586</v>
      </c>
      <c r="CI111">
        <f>$AW34-SUM($BE34:CI34)</f>
        <v>239.35974025114643</v>
      </c>
      <c r="CJ111">
        <f>$AW34-SUM($BE34:CJ34)</f>
        <v>216.81769308572314</v>
      </c>
      <c r="CK111">
        <f>$AW34-SUM($BE34:CK34)</f>
        <v>196.72113008696743</v>
      </c>
      <c r="CL111">
        <f>$AW34-SUM($BE34:CL34)</f>
        <v>178.83459782223588</v>
      </c>
      <c r="CM111">
        <f>$AW34-SUM($BE34:CM34)</f>
        <v>162.91417817252653</v>
      </c>
      <c r="CN111">
        <f>$AW34-SUM($BE34:CN34)</f>
        <v>148.72869514647903</v>
      </c>
      <c r="CO111">
        <f>$AW34-SUM($BE34:CO34)</f>
        <v>136.06818360349598</v>
      </c>
      <c r="CP111">
        <f>$AW34-SUM($BE34:CP34)</f>
        <v>124.74618604523886</v>
      </c>
      <c r="CQ111">
        <f>$AW34-SUM($BE34:CQ34)</f>
        <v>114.5991479453611</v>
      </c>
      <c r="CR111">
        <f>$AW34-SUM($BE34:CR34)</f>
        <v>105.484554382044</v>
      </c>
      <c r="CS111">
        <f>$AW34-SUM($BE34:CS34)</f>
        <v>97.278629794729227</v>
      </c>
      <c r="CT111">
        <f>$AW34-SUM($BE34:CT34)</f>
        <v>89.874002528190033</v>
      </c>
      <c r="CU111">
        <f>$AW34-SUM($BE34:CU34)</f>
        <v>83.177519301343352</v>
      </c>
      <c r="CV111">
        <f>$AW34-SUM($BE34:CV34)</f>
        <v>77.108283517013717</v>
      </c>
      <c r="CW111">
        <f>$AW34-SUM($BE34:CW34)</f>
        <v>71.595935231260682</v>
      </c>
      <c r="CX111">
        <f>$AW34-SUM($BE34:CX34)</f>
        <v>66.579163524291005</v>
      </c>
      <c r="CY111">
        <f>$AW34-SUM($BE34:CY34)</f>
        <v>62.004430177934921</v>
      </c>
      <c r="CZ111">
        <f>$AW34-SUM($BE34:CZ34)</f>
        <v>57.824879615722921</v>
      </c>
      <c r="DA111">
        <f>$AW34-SUM($BE34:DA34)</f>
        <v>53.999410060047921</v>
      </c>
      <c r="DB111">
        <f>$AW34-SUM($BE34:DB34)</f>
        <v>50.491882698421023</v>
      </c>
      <c r="DC111">
        <f>$AW34-SUM($BE34:DC34)</f>
        <v>47.270448212306405</v>
      </c>
      <c r="DD111">
        <f>$AW34-SUM($BE34:DD34)</f>
        <v>44.306972732991028</v>
      </c>
      <c r="DE111">
        <f>$AW34-SUM($BE34:DE34)</f>
        <v>41.576547868853538</v>
      </c>
      <c r="DF111">
        <f>$AW34-SUM($BE34:DF34)</f>
        <v>39.057071775024895</v>
      </c>
      <c r="DG111">
        <f>$AW34-SUM($BE34:DG34)</f>
        <v>36.728890271071521</v>
      </c>
      <c r="DH111">
        <f>$AW34-SUM($BE34:DH34)</f>
        <v>34.574488758586313</v>
      </c>
      <c r="DI111">
        <f>$AW34-SUM($BE34:DI34)</f>
        <v>32.578227171766059</v>
      </c>
      <c r="DJ111">
        <f>$AW34-SUM($BE34:DJ34)</f>
        <v>30.726111441135288</v>
      </c>
      <c r="DK111">
        <f>$AW34-SUM($BE34:DK34)</f>
        <v>29.005595995737565</v>
      </c>
      <c r="DL111">
        <f>$AW34-SUM($BE34:DL34)</f>
        <v>27.405412702742694</v>
      </c>
      <c r="DM111">
        <f>$AW34-SUM($BE34:DM34)</f>
        <v>25.915422372715057</v>
      </c>
      <c r="DN111">
        <f>$AW34-SUM($BE34:DN34)</f>
        <v>24.526485567386374</v>
      </c>
      <c r="DO111">
        <f>$AW34-SUM($BE34:DO34)</f>
        <v>23.230349954847668</v>
      </c>
      <c r="DP111">
        <f>$AW34-SUM($BE34:DP34)</f>
        <v>22.019551881569043</v>
      </c>
      <c r="DQ111">
        <f>$AW34-SUM($BE34:DQ34)</f>
        <v>20.887330185775738</v>
      </c>
      <c r="DR111">
        <f>$AW34-SUM($BE34:DR34)</f>
        <v>19.827550574225825</v>
      </c>
      <c r="DS111">
        <f>$AW34-SUM($BE34:DS34)</f>
        <v>18.834639134122938</v>
      </c>
      <c r="DT111">
        <f>$AW34-SUM($BE34:DT34)</f>
        <v>17.90352376182517</v>
      </c>
      <c r="DU111">
        <f>$AW34-SUM($BE34:DU34)</f>
        <v>17.029582466861257</v>
      </c>
      <c r="DV111">
        <f>$AW34-SUM($BE34:DV34)</f>
        <v>16.208597659035263</v>
      </c>
      <c r="DW111" s="4">
        <f>$AW34-SUM($BE34:DW34)</f>
        <v>15.436715652666578</v>
      </c>
    </row>
    <row r="112" spans="4:127" x14ac:dyDescent="0.25">
      <c r="D112"/>
      <c r="BD112">
        <v>2015</v>
      </c>
      <c r="BE112">
        <f>$AW35-SUM($BE35:BE35)</f>
        <v>408.35637513077762</v>
      </c>
      <c r="BF112">
        <f>$AW35-SUM($BE35:BF35)</f>
        <v>408.35637513077762</v>
      </c>
      <c r="BG112">
        <f>$AW35-SUM($BE35:BG35)</f>
        <v>408.35637513077762</v>
      </c>
      <c r="BH112">
        <f>$AW35-SUM($BE35:BH35)</f>
        <v>408.35637513077762</v>
      </c>
      <c r="BI112">
        <f>$AW35-SUM($BE35:BI35)</f>
        <v>408.35637513077762</v>
      </c>
      <c r="BJ112">
        <f>$AW35-SUM($BE35:BJ35)</f>
        <v>408.35637513077762</v>
      </c>
      <c r="BK112">
        <f>$AW35-SUM($BE35:BK35)</f>
        <v>408.35637513077762</v>
      </c>
      <c r="BL112">
        <f>$AW35-SUM($BE35:BL35)</f>
        <v>408.35637513077762</v>
      </c>
      <c r="BM112">
        <f>$AW35-SUM($BE35:BM35)</f>
        <v>408.35637513077762</v>
      </c>
      <c r="BN112">
        <f>$AW35-SUM($BE35:BN35)</f>
        <v>408.35637513077762</v>
      </c>
      <c r="BO112">
        <f>$AW35-SUM($BE35:BO35)</f>
        <v>408.35637513077762</v>
      </c>
      <c r="BP112">
        <f>$AW35-SUM($BE35:BP35)</f>
        <v>408.35637513077762</v>
      </c>
      <c r="BQ112">
        <f>$AW35-SUM($BE35:BQ35)</f>
        <v>408.35637513077762</v>
      </c>
      <c r="BR112">
        <f>$AW35-SUM($BE35:BR35)</f>
        <v>408.35637513077762</v>
      </c>
      <c r="BS112">
        <f>$AW35-SUM($BE35:BS35)</f>
        <v>408.35637513077762</v>
      </c>
      <c r="BT112">
        <f>$AW35-SUM($BE35:BT35)</f>
        <v>408.35637513077762</v>
      </c>
      <c r="BU112">
        <f>$AW35-SUM($BE35:BU35)</f>
        <v>408.35637513077762</v>
      </c>
      <c r="BV112">
        <f>$AW35-SUM($BE35:BV35)</f>
        <v>408.35637513077762</v>
      </c>
      <c r="BW112">
        <f>$AW35-SUM($BE35:BW35)</f>
        <v>408.35637513077762</v>
      </c>
      <c r="BX112">
        <f>$AW35-SUM($BE35:BX35)</f>
        <v>408.35637513077762</v>
      </c>
      <c r="BY112">
        <f>$AW35-SUM($BE35:BY35)</f>
        <v>408.35637513077762</v>
      </c>
      <c r="BZ112">
        <f>$AW35-SUM($BE35:BZ35)</f>
        <v>408.35637513077762</v>
      </c>
      <c r="CA112">
        <f>$AW35-SUM($BE35:CA35)</f>
        <v>408.35637513077762</v>
      </c>
      <c r="CB112">
        <f>$AW35-SUM($BE35:CB35)</f>
        <v>408.35637513077762</v>
      </c>
      <c r="CC112">
        <f>$AW35-SUM($BE35:CC35)</f>
        <v>408.35637513077762</v>
      </c>
      <c r="CD112">
        <f>$AW35-SUM($BE35:CD35)</f>
        <v>403.38962828650034</v>
      </c>
      <c r="CE112">
        <f>$AW35-SUM($BE35:CE35)</f>
        <v>382.45057126868102</v>
      </c>
      <c r="CF112">
        <f>$AW35-SUM($BE35:CF35)</f>
        <v>353.15037776992381</v>
      </c>
      <c r="CG112">
        <f>$AW35-SUM($BE35:CG35)</f>
        <v>321.97488537911545</v>
      </c>
      <c r="CH112">
        <f>$AW35-SUM($BE35:CH35)</f>
        <v>291.90872181699092</v>
      </c>
      <c r="CI112">
        <f>$AW35-SUM($BE35:CI35)</f>
        <v>264.13538395635186</v>
      </c>
      <c r="CJ112">
        <f>$AW35-SUM($BE35:CJ35)</f>
        <v>239.00547258589617</v>
      </c>
      <c r="CK112">
        <f>$AW35-SUM($BE35:CK35)</f>
        <v>216.49678908643807</v>
      </c>
      <c r="CL112">
        <f>$AW35-SUM($BE35:CL35)</f>
        <v>196.42997028127837</v>
      </c>
      <c r="CM112">
        <f>$AW35-SUM($BE35:CM35)</f>
        <v>178.56991122385477</v>
      </c>
      <c r="CN112">
        <f>$AW35-SUM($BE35:CN35)</f>
        <v>162.67305480952155</v>
      </c>
      <c r="CO112">
        <f>$AW35-SUM($BE35:CO35)</f>
        <v>148.5085672021138</v>
      </c>
      <c r="CP112">
        <f>$AW35-SUM($BE35:CP35)</f>
        <v>135.86679402281925</v>
      </c>
      <c r="CQ112">
        <f>$AW35-SUM($BE35:CQ35)</f>
        <v>124.56155374227609</v>
      </c>
      <c r="CR112">
        <f>$AW35-SUM($BE35:CR35)</f>
        <v>114.4295339052569</v>
      </c>
      <c r="CS112">
        <f>$AW35-SUM($BE35:CS35)</f>
        <v>105.3284305211069</v>
      </c>
      <c r="CT112">
        <f>$AW35-SUM($BE35:CT35)</f>
        <v>97.134651224983202</v>
      </c>
      <c r="CU112">
        <f>$AW35-SUM($BE35:CU35)</f>
        <v>89.740983278549436</v>
      </c>
      <c r="CV112">
        <f>$AW35-SUM($BE35:CV35)</f>
        <v>83.054411273513381</v>
      </c>
      <c r="CW112">
        <f>$AW35-SUM($BE35:CW35)</f>
        <v>76.994158344817322</v>
      </c>
      <c r="CX112">
        <f>$AW35-SUM($BE35:CX35)</f>
        <v>71.489968685720498</v>
      </c>
      <c r="CY112">
        <f>$AW35-SUM($BE35:CY35)</f>
        <v>66.480622120497117</v>
      </c>
      <c r="CZ112">
        <f>$AW35-SUM($BE35:CZ35)</f>
        <v>61.9126596709512</v>
      </c>
      <c r="DA112">
        <f>$AW35-SUM($BE35:DA35)</f>
        <v>57.739295109851639</v>
      </c>
      <c r="DB112">
        <f>$AW35-SUM($BE35:DB35)</f>
        <v>53.919487492840801</v>
      </c>
      <c r="DC112">
        <f>$AW35-SUM($BE35:DC35)</f>
        <v>50.417151495174664</v>
      </c>
      <c r="DD112">
        <f>$AW35-SUM($BE35:DD35)</f>
        <v>47.200484937338047</v>
      </c>
      <c r="DE112">
        <f>$AW35-SUM($BE35:DE35)</f>
        <v>44.241395590535944</v>
      </c>
      <c r="DF112">
        <f>$AW35-SUM($BE35:DF35)</f>
        <v>41.515011929153559</v>
      </c>
      <c r="DG112">
        <f>$AW35-SUM($BE35:DG35)</f>
        <v>38.999264820460326</v>
      </c>
      <c r="DH112">
        <f>$AW35-SUM($BE35:DH35)</f>
        <v>36.674529173461963</v>
      </c>
      <c r="DI112">
        <f>$AW35-SUM($BE35:DI35)</f>
        <v>34.523316312472787</v>
      </c>
      <c r="DJ112">
        <f>$AW35-SUM($BE35:DJ35)</f>
        <v>32.530009319983435</v>
      </c>
      <c r="DK112">
        <f>$AW35-SUM($BE35:DK35)</f>
        <v>30.680634838632841</v>
      </c>
      <c r="DL112">
        <f>$AW35-SUM($BE35:DL35)</f>
        <v>28.962665865708857</v>
      </c>
      <c r="DM112">
        <f>$AW35-SUM($BE35:DM35)</f>
        <v>27.364850945935814</v>
      </c>
      <c r="DN112">
        <f>$AW35-SUM($BE35:DN35)</f>
        <v>25.8770658965243</v>
      </c>
      <c r="DO112">
        <f>$AW35-SUM($BE35:DO35)</f>
        <v>24.49018480615706</v>
      </c>
      <c r="DP112">
        <f>$AW35-SUM($BE35:DP35)</f>
        <v>23.195967556902133</v>
      </c>
      <c r="DQ112">
        <f>$AW35-SUM($BE35:DQ35)</f>
        <v>21.986961541912251</v>
      </c>
      <c r="DR112">
        <f>$AW35-SUM($BE35:DR35)</f>
        <v>20.856415606362873</v>
      </c>
      <c r="DS112">
        <f>$AW35-SUM($BE35:DS35)</f>
        <v>19.798204536156959</v>
      </c>
      <c r="DT112">
        <f>$AW35-SUM($BE35:DT35)</f>
        <v>18.806762668244062</v>
      </c>
      <c r="DU112">
        <f>$AW35-SUM($BE35:DU35)</f>
        <v>17.877025406018959</v>
      </c>
      <c r="DV112">
        <f>$AW35-SUM($BE35:DV35)</f>
        <v>17.004377599850613</v>
      </c>
      <c r="DW112" s="4">
        <f>$AW35-SUM($BE35:DW35)</f>
        <v>16.184607901845368</v>
      </c>
    </row>
    <row r="113" spans="4:127" x14ac:dyDescent="0.25">
      <c r="D113"/>
      <c r="BD113">
        <v>2016</v>
      </c>
      <c r="BE113">
        <f>$AW36-SUM($BE36:BE36)</f>
        <v>409.4855632723968</v>
      </c>
      <c r="BF113">
        <f>$AW36-SUM($BE36:BF36)</f>
        <v>409.4855632723968</v>
      </c>
      <c r="BG113">
        <f>$AW36-SUM($BE36:BG36)</f>
        <v>409.4855632723968</v>
      </c>
      <c r="BH113">
        <f>$AW36-SUM($BE36:BH36)</f>
        <v>409.4855632723968</v>
      </c>
      <c r="BI113">
        <f>$AW36-SUM($BE36:BI36)</f>
        <v>409.4855632723968</v>
      </c>
      <c r="BJ113">
        <f>$AW36-SUM($BE36:BJ36)</f>
        <v>409.4855632723968</v>
      </c>
      <c r="BK113">
        <f>$AW36-SUM($BE36:BK36)</f>
        <v>409.4855632723968</v>
      </c>
      <c r="BL113">
        <f>$AW36-SUM($BE36:BL36)</f>
        <v>409.4855632723968</v>
      </c>
      <c r="BM113">
        <f>$AW36-SUM($BE36:BM36)</f>
        <v>409.4855632723968</v>
      </c>
      <c r="BN113">
        <f>$AW36-SUM($BE36:BN36)</f>
        <v>409.4855632723968</v>
      </c>
      <c r="BO113">
        <f>$AW36-SUM($BE36:BO36)</f>
        <v>409.4855632723968</v>
      </c>
      <c r="BP113">
        <f>$AW36-SUM($BE36:BP36)</f>
        <v>409.4855632723968</v>
      </c>
      <c r="BQ113">
        <f>$AW36-SUM($BE36:BQ36)</f>
        <v>409.4855632723968</v>
      </c>
      <c r="BR113">
        <f>$AW36-SUM($BE36:BR36)</f>
        <v>409.4855632723968</v>
      </c>
      <c r="BS113">
        <f>$AW36-SUM($BE36:BS36)</f>
        <v>409.4855632723968</v>
      </c>
      <c r="BT113">
        <f>$AW36-SUM($BE36:BT36)</f>
        <v>409.4855632723968</v>
      </c>
      <c r="BU113">
        <f>$AW36-SUM($BE36:BU36)</f>
        <v>409.4855632723968</v>
      </c>
      <c r="BV113">
        <f>$AW36-SUM($BE36:BV36)</f>
        <v>409.4855632723968</v>
      </c>
      <c r="BW113">
        <f>$AW36-SUM($BE36:BW36)</f>
        <v>409.4855632723968</v>
      </c>
      <c r="BX113">
        <f>$AW36-SUM($BE36:BX36)</f>
        <v>409.4855632723968</v>
      </c>
      <c r="BY113">
        <f>$AW36-SUM($BE36:BY36)</f>
        <v>409.4855632723968</v>
      </c>
      <c r="BZ113">
        <f>$AW36-SUM($BE36:BZ36)</f>
        <v>409.4855632723968</v>
      </c>
      <c r="CA113">
        <f>$AW36-SUM($BE36:CA36)</f>
        <v>409.4855632723968</v>
      </c>
      <c r="CB113">
        <f>$AW36-SUM($BE36:CB36)</f>
        <v>409.4855632723968</v>
      </c>
      <c r="CC113">
        <f>$AW36-SUM($BE36:CC36)</f>
        <v>409.4855632723968</v>
      </c>
      <c r="CD113">
        <f>$AW36-SUM($BE36:CD36)</f>
        <v>409.4855632723968</v>
      </c>
      <c r="CE113">
        <f>$AW36-SUM($BE36:CE36)</f>
        <v>404.50508236645049</v>
      </c>
      <c r="CF113">
        <f>$AW36-SUM($BE36:CF36)</f>
        <v>383.50812461211484</v>
      </c>
      <c r="CG113">
        <f>$AW36-SUM($BE36:CG36)</f>
        <v>354.12691013986273</v>
      </c>
      <c r="CH113">
        <f>$AW36-SUM($BE36:CH36)</f>
        <v>322.8652111940433</v>
      </c>
      <c r="CI113">
        <f>$AW36-SUM($BE36:CI36)</f>
        <v>292.71590859595426</v>
      </c>
      <c r="CJ113">
        <f>$AW36-SUM($BE36:CJ36)</f>
        <v>264.86577182711801</v>
      </c>
      <c r="CK113">
        <f>$AW36-SUM($BE36:CK36)</f>
        <v>239.66637115847178</v>
      </c>
      <c r="CL113">
        <f>$AW36-SUM($BE36:CL36)</f>
        <v>217.09544658714867</v>
      </c>
      <c r="CM113">
        <f>$AW36-SUM($BE36:CM36)</f>
        <v>196.97313896091316</v>
      </c>
      <c r="CN113">
        <f>$AW36-SUM($BE36:CN36)</f>
        <v>179.06369322037534</v>
      </c>
      <c r="CO113">
        <f>$AW36-SUM($BE36:CO36)</f>
        <v>163.12287877613176</v>
      </c>
      <c r="CP113">
        <f>$AW36-SUM($BE36:CP36)</f>
        <v>148.91922348967586</v>
      </c>
      <c r="CQ113">
        <f>$AW36-SUM($BE36:CQ36)</f>
        <v>136.24249324534583</v>
      </c>
      <c r="CR113">
        <f>$AW36-SUM($BE36:CR36)</f>
        <v>124.90599168411649</v>
      </c>
      <c r="CS113">
        <f>$AW36-SUM($BE36:CS36)</f>
        <v>114.74595475872206</v>
      </c>
      <c r="CT113">
        <f>$AW36-SUM($BE36:CT36)</f>
        <v>105.61968497913193</v>
      </c>
      <c r="CU113">
        <f>$AW36-SUM($BE36:CU36)</f>
        <v>97.403248222565082</v>
      </c>
      <c r="CV113">
        <f>$AW36-SUM($BE36:CV36)</f>
        <v>89.989135285734108</v>
      </c>
      <c r="CW113">
        <f>$AW36-SUM($BE36:CW36)</f>
        <v>83.284073553890778</v>
      </c>
      <c r="CX113">
        <f>$AW36-SUM($BE36:CX36)</f>
        <v>77.20706279757394</v>
      </c>
      <c r="CY113">
        <f>$AW36-SUM($BE36:CY36)</f>
        <v>71.687652938497934</v>
      </c>
      <c r="CZ113">
        <f>$AW36-SUM($BE36:CZ36)</f>
        <v>66.66445451474317</v>
      </c>
      <c r="DA113">
        <f>$AW36-SUM($BE36:DA36)</f>
        <v>62.083860723204054</v>
      </c>
      <c r="DB113">
        <f>$AW36-SUM($BE36:DB36)</f>
        <v>57.898955963248682</v>
      </c>
      <c r="DC113">
        <f>$AW36-SUM($BE36:DC36)</f>
        <v>54.068585803990231</v>
      </c>
      <c r="DD113">
        <f>$AW36-SUM($BE36:DD36)</f>
        <v>50.55656513744816</v>
      </c>
      <c r="DE113">
        <f>$AW36-SUM($BE36:DE36)</f>
        <v>47.331003844635291</v>
      </c>
      <c r="DF113">
        <f>$AW36-SUM($BE36:DF36)</f>
        <v>44.363732016050392</v>
      </c>
      <c r="DG113">
        <f>$AW36-SUM($BE36:DG36)</f>
        <v>41.629809351269444</v>
      </c>
      <c r="DH113">
        <f>$AW36-SUM($BE36:DH36)</f>
        <v>39.107105691936965</v>
      </c>
      <c r="DI113">
        <f>$AW36-SUM($BE36:DI36)</f>
        <v>36.775941679704545</v>
      </c>
      <c r="DJ113">
        <f>$AW36-SUM($BE36:DJ36)</f>
        <v>34.618780279153668</v>
      </c>
      <c r="DK113">
        <f>$AW36-SUM($BE36:DK36)</f>
        <v>32.619961388832905</v>
      </c>
      <c r="DL113">
        <f>$AW36-SUM($BE36:DL36)</f>
        <v>30.765473012215978</v>
      </c>
      <c r="DM113">
        <f>$AW36-SUM($BE36:DM36)</f>
        <v>29.042753506889312</v>
      </c>
      <c r="DN113">
        <f>$AW36-SUM($BE36:DN36)</f>
        <v>27.440520305022972</v>
      </c>
      <c r="DO113">
        <f>$AW36-SUM($BE36:DO36)</f>
        <v>25.948621228410275</v>
      </c>
      <c r="DP113">
        <f>$AW36-SUM($BE36:DP36)</f>
        <v>24.557905130739528</v>
      </c>
      <c r="DQ113">
        <f>$AW36-SUM($BE36:DQ36)</f>
        <v>23.260109108482538</v>
      </c>
      <c r="DR113">
        <f>$AW36-SUM($BE36:DR36)</f>
        <v>22.047759946823703</v>
      </c>
      <c r="DS113">
        <f>$AW36-SUM($BE36:DS36)</f>
        <v>20.914087822627039</v>
      </c>
      <c r="DT113">
        <f>$AW36-SUM($BE36:DT36)</f>
        <v>19.852950584337123</v>
      </c>
      <c r="DU113">
        <f>$AW36-SUM($BE36:DU36)</f>
        <v>18.85876717871713</v>
      </c>
      <c r="DV113">
        <f>$AW36-SUM($BE36:DV36)</f>
        <v>17.926459004525725</v>
      </c>
      <c r="DW113" s="4">
        <f>$AW36-SUM($BE36:DW36)</f>
        <v>17.051398150307818</v>
      </c>
    </row>
    <row r="114" spans="4:127" x14ac:dyDescent="0.25">
      <c r="D114"/>
      <c r="BD114">
        <v>2017</v>
      </c>
      <c r="BE114">
        <f>$AW37-SUM($BE37:BE37)</f>
        <v>425.36791024312322</v>
      </c>
      <c r="BF114">
        <f>$AW37-SUM($BE37:BF37)</f>
        <v>425.36791024312322</v>
      </c>
      <c r="BG114">
        <f>$AW37-SUM($BE37:BG37)</f>
        <v>425.36791024312322</v>
      </c>
      <c r="BH114">
        <f>$AW37-SUM($BE37:BH37)</f>
        <v>425.36791024312322</v>
      </c>
      <c r="BI114">
        <f>$AW37-SUM($BE37:BI37)</f>
        <v>425.36791024312322</v>
      </c>
      <c r="BJ114">
        <f>$AW37-SUM($BE37:BJ37)</f>
        <v>425.36791024312322</v>
      </c>
      <c r="BK114">
        <f>$AW37-SUM($BE37:BK37)</f>
        <v>425.36791024312322</v>
      </c>
      <c r="BL114">
        <f>$AW37-SUM($BE37:BL37)</f>
        <v>425.36791024312322</v>
      </c>
      <c r="BM114">
        <f>$AW37-SUM($BE37:BM37)</f>
        <v>425.36791024312322</v>
      </c>
      <c r="BN114">
        <f>$AW37-SUM($BE37:BN37)</f>
        <v>425.36791024312322</v>
      </c>
      <c r="BO114">
        <f>$AW37-SUM($BE37:BO37)</f>
        <v>425.36791024312322</v>
      </c>
      <c r="BP114">
        <f>$AW37-SUM($BE37:BP37)</f>
        <v>425.36791024312322</v>
      </c>
      <c r="BQ114">
        <f>$AW37-SUM($BE37:BQ37)</f>
        <v>425.36791024312322</v>
      </c>
      <c r="BR114">
        <f>$AW37-SUM($BE37:BR37)</f>
        <v>425.36791024312322</v>
      </c>
      <c r="BS114">
        <f>$AW37-SUM($BE37:BS37)</f>
        <v>425.36791024312322</v>
      </c>
      <c r="BT114">
        <f>$AW37-SUM($BE37:BT37)</f>
        <v>425.36791024312322</v>
      </c>
      <c r="BU114">
        <f>$AW37-SUM($BE37:BU37)</f>
        <v>425.36791024312322</v>
      </c>
      <c r="BV114">
        <f>$AW37-SUM($BE37:BV37)</f>
        <v>425.36791024312322</v>
      </c>
      <c r="BW114">
        <f>$AW37-SUM($BE37:BW37)</f>
        <v>425.36791024312322</v>
      </c>
      <c r="BX114">
        <f>$AW37-SUM($BE37:BX37)</f>
        <v>425.36791024312322</v>
      </c>
      <c r="BY114">
        <f>$AW37-SUM($BE37:BY37)</f>
        <v>425.36791024312322</v>
      </c>
      <c r="BZ114">
        <f>$AW37-SUM($BE37:BZ37)</f>
        <v>425.36791024312322</v>
      </c>
      <c r="CA114">
        <f>$AW37-SUM($BE37:CA37)</f>
        <v>425.36791024312322</v>
      </c>
      <c r="CB114">
        <f>$AW37-SUM($BE37:CB37)</f>
        <v>425.36791024312322</v>
      </c>
      <c r="CC114">
        <f>$AW37-SUM($BE37:CC37)</f>
        <v>425.36791024312322</v>
      </c>
      <c r="CD114">
        <f>$AW37-SUM($BE37:CD37)</f>
        <v>425.36791024312322</v>
      </c>
      <c r="CE114">
        <f>$AW37-SUM($BE37:CE37)</f>
        <v>425.36791024312322</v>
      </c>
      <c r="CF114">
        <f>$AW37-SUM($BE37:CF37)</f>
        <v>420.1942559192982</v>
      </c>
      <c r="CG114">
        <f>$AW37-SUM($BE37:CG37)</f>
        <v>398.38290811487377</v>
      </c>
      <c r="CH114">
        <f>$AW37-SUM($BE37:CH37)</f>
        <v>367.86211099423599</v>
      </c>
      <c r="CI114">
        <f>$AW37-SUM($BE37:CI37)</f>
        <v>335.38789274594342</v>
      </c>
      <c r="CJ114">
        <f>$AW37-SUM($BE37:CJ37)</f>
        <v>304.06921635855241</v>
      </c>
      <c r="CK114">
        <f>$AW37-SUM($BE37:CK37)</f>
        <v>275.13888147037341</v>
      </c>
      <c r="CL114">
        <f>$AW37-SUM($BE37:CL37)</f>
        <v>248.96209439114071</v>
      </c>
      <c r="CM114">
        <f>$AW37-SUM($BE37:CM37)</f>
        <v>225.51573173934642</v>
      </c>
      <c r="CN114">
        <f>$AW37-SUM($BE37:CN37)</f>
        <v>204.61295832814508</v>
      </c>
      <c r="CO114">
        <f>$AW37-SUM($BE37:CO37)</f>
        <v>186.00887507943361</v>
      </c>
      <c r="CP114">
        <f>$AW37-SUM($BE37:CP37)</f>
        <v>169.44977865236214</v>
      </c>
      <c r="CQ114">
        <f>$AW37-SUM($BE37:CQ37)</f>
        <v>154.69521900749783</v>
      </c>
      <c r="CR114">
        <f>$AW37-SUM($BE37:CR37)</f>
        <v>141.52680786827671</v>
      </c>
      <c r="CS114">
        <f>$AW37-SUM($BE37:CS37)</f>
        <v>129.75060765249469</v>
      </c>
      <c r="CT114">
        <f>$AW37-SUM($BE37:CT37)</f>
        <v>119.19650254458622</v>
      </c>
      <c r="CU114">
        <f>$AW37-SUM($BE37:CU37)</f>
        <v>109.71626037576323</v>
      </c>
      <c r="CV114">
        <f>$AW37-SUM($BE37:CV37)</f>
        <v>101.18114010227833</v>
      </c>
      <c r="CW114">
        <f>$AW37-SUM($BE37:CW37)</f>
        <v>93.479462658406192</v>
      </c>
      <c r="CX114">
        <f>$AW37-SUM($BE37:CX37)</f>
        <v>86.514337748671437</v>
      </c>
      <c r="CY114">
        <f>$AW37-SUM($BE37:CY37)</f>
        <v>80.201623460817757</v>
      </c>
      <c r="CZ114">
        <f>$AW37-SUM($BE37:CZ37)</f>
        <v>74.46813723295611</v>
      </c>
      <c r="DA114">
        <f>$AW37-SUM($BE37:DA37)</f>
        <v>69.250108545513115</v>
      </c>
      <c r="DB114">
        <f>$AW37-SUM($BE37:DB37)</f>
        <v>64.491851396692709</v>
      </c>
      <c r="DC114">
        <f>$AW37-SUM($BE37:DC37)</f>
        <v>60.144630512803928</v>
      </c>
      <c r="DD114">
        <f>$AW37-SUM($BE37:DD37)</f>
        <v>56.165695243192147</v>
      </c>
      <c r="DE114">
        <f>$AW37-SUM($BE37:DE37)</f>
        <v>52.517457000751619</v>
      </c>
      <c r="DF114">
        <f>$AW37-SUM($BE37:DF37)</f>
        <v>49.166788773231701</v>
      </c>
      <c r="DG114">
        <f>$AW37-SUM($BE37:DG37)</f>
        <v>46.084428050275449</v>
      </c>
      <c r="DH114">
        <f>$AW37-SUM($BE37:DH37)</f>
        <v>43.244467194535616</v>
      </c>
      <c r="DI114">
        <f>$AW37-SUM($BE37:DI37)</f>
        <v>40.623917705177689</v>
      </c>
      <c r="DJ114">
        <f>$AW37-SUM($BE37:DJ37)</f>
        <v>38.202336938342114</v>
      </c>
      <c r="DK114">
        <f>$AW37-SUM($BE37:DK37)</f>
        <v>35.961507665445254</v>
      </c>
      <c r="DL114">
        <f>$AW37-SUM($BE37:DL37)</f>
        <v>33.885162390814344</v>
      </c>
      <c r="DM114">
        <f>$AW37-SUM($BE37:DM37)</f>
        <v>31.958745647260059</v>
      </c>
      <c r="DN114">
        <f>$AW37-SUM($BE37:DN37)</f>
        <v>30.169208575281743</v>
      </c>
      <c r="DO114">
        <f>$AW37-SUM($BE37:DO37)</f>
        <v>28.504831000273896</v>
      </c>
      <c r="DP114">
        <f>$AW37-SUM($BE37:DP37)</f>
        <v>26.955066980656341</v>
      </c>
      <c r="DQ114">
        <f>$AW37-SUM($BE37:DQ37)</f>
        <v>25.510410432864546</v>
      </c>
      <c r="DR114">
        <f>$AW37-SUM($BE37:DR37)</f>
        <v>24.162277967588636</v>
      </c>
      <c r="DS114">
        <f>$AW37-SUM($BE37:DS37)</f>
        <v>22.902906513174798</v>
      </c>
      <c r="DT114">
        <f>$AW37-SUM($BE37:DT37)</f>
        <v>21.725263671467019</v>
      </c>
      <c r="DU114">
        <f>$AW37-SUM($BE37:DU37)</f>
        <v>20.622969060820878</v>
      </c>
      <c r="DV114">
        <f>$AW37-SUM($BE37:DV37)</f>
        <v>19.590225160724856</v>
      </c>
      <c r="DW114" s="4">
        <f>$AW37-SUM($BE37:DW37)</f>
        <v>18.621756390814767</v>
      </c>
    </row>
    <row r="115" spans="4:127" x14ac:dyDescent="0.25">
      <c r="D115"/>
      <c r="BD115">
        <v>2018</v>
      </c>
      <c r="BE115">
        <f>$AW38-SUM($BE38:BE38)</f>
        <v>412.52456440986623</v>
      </c>
      <c r="BF115">
        <f>$AW38-SUM($BE38:BF38)</f>
        <v>412.52456440986623</v>
      </c>
      <c r="BG115">
        <f>$AW38-SUM($BE38:BG38)</f>
        <v>412.52456440986623</v>
      </c>
      <c r="BH115">
        <f>$AW38-SUM($BE38:BH38)</f>
        <v>412.52456440986623</v>
      </c>
      <c r="BI115">
        <f>$AW38-SUM($BE38:BI38)</f>
        <v>412.52456440986623</v>
      </c>
      <c r="BJ115">
        <f>$AW38-SUM($BE38:BJ38)</f>
        <v>412.52456440986623</v>
      </c>
      <c r="BK115">
        <f>$AW38-SUM($BE38:BK38)</f>
        <v>412.52456440986623</v>
      </c>
      <c r="BL115">
        <f>$AW38-SUM($BE38:BL38)</f>
        <v>412.52456440986623</v>
      </c>
      <c r="BM115">
        <f>$AW38-SUM($BE38:BM38)</f>
        <v>412.52456440986623</v>
      </c>
      <c r="BN115">
        <f>$AW38-SUM($BE38:BN38)</f>
        <v>412.52456440986623</v>
      </c>
      <c r="BO115">
        <f>$AW38-SUM($BE38:BO38)</f>
        <v>412.52456440986623</v>
      </c>
      <c r="BP115">
        <f>$AW38-SUM($BE38:BP38)</f>
        <v>412.52456440986623</v>
      </c>
      <c r="BQ115">
        <f>$AW38-SUM($BE38:BQ38)</f>
        <v>412.52456440986623</v>
      </c>
      <c r="BR115">
        <f>$AW38-SUM($BE38:BR38)</f>
        <v>412.52456440986623</v>
      </c>
      <c r="BS115">
        <f>$AW38-SUM($BE38:BS38)</f>
        <v>412.52456440986623</v>
      </c>
      <c r="BT115">
        <f>$AW38-SUM($BE38:BT38)</f>
        <v>412.52456440986623</v>
      </c>
      <c r="BU115">
        <f>$AW38-SUM($BE38:BU38)</f>
        <v>412.52456440986623</v>
      </c>
      <c r="BV115">
        <f>$AW38-SUM($BE38:BV38)</f>
        <v>412.52456440986623</v>
      </c>
      <c r="BW115">
        <f>$AW38-SUM($BE38:BW38)</f>
        <v>412.52456440986623</v>
      </c>
      <c r="BX115">
        <f>$AW38-SUM($BE38:BX38)</f>
        <v>412.52456440986623</v>
      </c>
      <c r="BY115">
        <f>$AW38-SUM($BE38:BY38)</f>
        <v>412.52456440986623</v>
      </c>
      <c r="BZ115">
        <f>$AW38-SUM($BE38:BZ38)</f>
        <v>412.52456440986623</v>
      </c>
      <c r="CA115">
        <f>$AW38-SUM($BE38:CA38)</f>
        <v>412.52456440986623</v>
      </c>
      <c r="CB115">
        <f>$AW38-SUM($BE38:CB38)</f>
        <v>412.52456440986623</v>
      </c>
      <c r="CC115">
        <f>$AW38-SUM($BE38:CC38)</f>
        <v>412.52456440986623</v>
      </c>
      <c r="CD115">
        <f>$AW38-SUM($BE38:CD38)</f>
        <v>412.52456440986623</v>
      </c>
      <c r="CE115">
        <f>$AW38-SUM($BE38:CE38)</f>
        <v>412.52456440986623</v>
      </c>
      <c r="CF115">
        <f>$AW38-SUM($BE38:CF38)</f>
        <v>412.52456440986623</v>
      </c>
      <c r="CG115">
        <f>$AW38-SUM($BE38:CG38)</f>
        <v>407.50712081586482</v>
      </c>
      <c r="CH115">
        <f>$AW38-SUM($BE38:CH38)</f>
        <v>386.35433393292965</v>
      </c>
      <c r="CI115">
        <f>$AW38-SUM($BE38:CI38)</f>
        <v>356.75506648833863</v>
      </c>
      <c r="CJ115">
        <f>$AW38-SUM($BE38:CJ38)</f>
        <v>325.26135853615438</v>
      </c>
      <c r="CK115">
        <f>$AW38-SUM($BE38:CK38)</f>
        <v>294.88830259214194</v>
      </c>
      <c r="CL115">
        <f>$AW38-SUM($BE38:CL38)</f>
        <v>266.83147575920964</v>
      </c>
      <c r="CM115">
        <f>$AW38-SUM($BE38:CM38)</f>
        <v>241.44505749052021</v>
      </c>
      <c r="CN115">
        <f>$AW38-SUM($BE38:CN38)</f>
        <v>218.70662258037629</v>
      </c>
      <c r="CO115">
        <f>$AW38-SUM($BE38:CO38)</f>
        <v>198.43497705007417</v>
      </c>
      <c r="CP115">
        <f>$AW38-SUM($BE38:CP38)</f>
        <v>180.39261618173063</v>
      </c>
      <c r="CQ115">
        <f>$AW38-SUM($BE38:CQ38)</f>
        <v>164.33349682621957</v>
      </c>
      <c r="CR115">
        <f>$AW38-SUM($BE38:CR38)</f>
        <v>150.0244289722807</v>
      </c>
      <c r="CS115">
        <f>$AW38-SUM($BE38:CS38)</f>
        <v>137.25361824969389</v>
      </c>
      <c r="CT115">
        <f>$AW38-SUM($BE38:CT38)</f>
        <v>125.83298273056829</v>
      </c>
      <c r="CU115">
        <f>$AW38-SUM($BE38:CU38)</f>
        <v>115.59754299114974</v>
      </c>
      <c r="CV115">
        <f>$AW38-SUM($BE38:CV38)</f>
        <v>106.40354251058108</v>
      </c>
      <c r="CW115">
        <f>$AW38-SUM($BE38:CW38)</f>
        <v>98.126127387769486</v>
      </c>
      <c r="CX115">
        <f>$AW38-SUM($BE38:CX38)</f>
        <v>90.656990538817411</v>
      </c>
      <c r="CY115">
        <f>$AW38-SUM($BE38:CY38)</f>
        <v>83.902167125348399</v>
      </c>
      <c r="CZ115">
        <f>$AW38-SUM($BE38:CZ38)</f>
        <v>77.780055773901211</v>
      </c>
      <c r="DA115">
        <f>$AW38-SUM($BE38:DA38)</f>
        <v>72.219683560240924</v>
      </c>
      <c r="DB115">
        <f>$AW38-SUM($BE38:DB38)</f>
        <v>67.159205419952229</v>
      </c>
      <c r="DC115">
        <f>$AW38-SUM($BE38:DC38)</f>
        <v>62.544616706512727</v>
      </c>
      <c r="DD115">
        <f>$AW38-SUM($BE38:DD38)</f>
        <v>58.328653634698753</v>
      </c>
      <c r="DE115">
        <f>$AW38-SUM($BE38:DE38)</f>
        <v>54.469856345609685</v>
      </c>
      <c r="DF115">
        <f>$AW38-SUM($BE38:DF38)</f>
        <v>50.931771183129968</v>
      </c>
      <c r="DG115">
        <f>$AW38-SUM($BE38:DG38)</f>
        <v>47.682271355440548</v>
      </c>
      <c r="DH115">
        <f>$AW38-SUM($BE38:DH38)</f>
        <v>44.692977889779627</v>
      </c>
      <c r="DI115">
        <f>$AW38-SUM($BE38:DI38)</f>
        <v>41.938765391038146</v>
      </c>
      <c r="DJ115">
        <f>$AW38-SUM($BE38:DJ38)</f>
        <v>39.397339461672686</v>
      </c>
      <c r="DK115">
        <f>$AW38-SUM($BE38:DK38)</f>
        <v>37.048874692783102</v>
      </c>
      <c r="DL115">
        <f>$AW38-SUM($BE38:DL38)</f>
        <v>34.87570389766995</v>
      </c>
      <c r="DM115">
        <f>$AW38-SUM($BE38:DM38)</f>
        <v>32.862050753284848</v>
      </c>
      <c r="DN115">
        <f>$AW38-SUM($BE38:DN38)</f>
        <v>30.993799272931312</v>
      </c>
      <c r="DO115">
        <f>$AW38-SUM($BE38:DO38)</f>
        <v>29.258294587843011</v>
      </c>
      <c r="DP115">
        <f>$AW38-SUM($BE38:DP38)</f>
        <v>27.644170396501863</v>
      </c>
      <c r="DQ115">
        <f>$AW38-SUM($BE38:DQ38)</f>
        <v>26.141199176210648</v>
      </c>
      <c r="DR115">
        <f>$AW38-SUM($BE38:DR38)</f>
        <v>24.740161865335324</v>
      </c>
      <c r="DS115">
        <f>$AW38-SUM($BE38:DS38)</f>
        <v>23.432734237127875</v>
      </c>
      <c r="DT115">
        <f>$AW38-SUM($BE38:DT38)</f>
        <v>22.211387614235377</v>
      </c>
      <c r="DU115">
        <f>$AW38-SUM($BE38:DU38)</f>
        <v>21.069301931212806</v>
      </c>
      <c r="DV115">
        <f>$AW38-SUM($BE38:DV38)</f>
        <v>20.000289452466518</v>
      </c>
      <c r="DW115" s="4">
        <f>$AW38-SUM($BE38:DW38)</f>
        <v>18.998727704918224</v>
      </c>
    </row>
    <row r="116" spans="4:127" x14ac:dyDescent="0.25">
      <c r="D116"/>
      <c r="BD116">
        <v>2019</v>
      </c>
      <c r="BE116">
        <f>$AW39-SUM($BE39:BE39)</f>
        <v>382.82353238495233</v>
      </c>
      <c r="BF116">
        <f>$AW39-SUM($BE39:BF39)</f>
        <v>382.82353238495233</v>
      </c>
      <c r="BG116">
        <f>$AW39-SUM($BE39:BG39)</f>
        <v>382.82353238495233</v>
      </c>
      <c r="BH116">
        <f>$AW39-SUM($BE39:BH39)</f>
        <v>382.82353238495233</v>
      </c>
      <c r="BI116">
        <f>$AW39-SUM($BE39:BI39)</f>
        <v>382.82353238495233</v>
      </c>
      <c r="BJ116">
        <f>$AW39-SUM($BE39:BJ39)</f>
        <v>382.82353238495233</v>
      </c>
      <c r="BK116">
        <f>$AW39-SUM($BE39:BK39)</f>
        <v>382.82353238495233</v>
      </c>
      <c r="BL116">
        <f>$AW39-SUM($BE39:BL39)</f>
        <v>382.82353238495233</v>
      </c>
      <c r="BM116">
        <f>$AW39-SUM($BE39:BM39)</f>
        <v>382.82353238495233</v>
      </c>
      <c r="BN116">
        <f>$AW39-SUM($BE39:BN39)</f>
        <v>382.82353238495233</v>
      </c>
      <c r="BO116">
        <f>$AW39-SUM($BE39:BO39)</f>
        <v>382.82353238495233</v>
      </c>
      <c r="BP116">
        <f>$AW39-SUM($BE39:BP39)</f>
        <v>382.82353238495233</v>
      </c>
      <c r="BQ116">
        <f>$AW39-SUM($BE39:BQ39)</f>
        <v>382.82353238495233</v>
      </c>
      <c r="BR116">
        <f>$AW39-SUM($BE39:BR39)</f>
        <v>382.82353238495233</v>
      </c>
      <c r="BS116">
        <f>$AW39-SUM($BE39:BS39)</f>
        <v>382.82353238495233</v>
      </c>
      <c r="BT116">
        <f>$AW39-SUM($BE39:BT39)</f>
        <v>382.82353238495233</v>
      </c>
      <c r="BU116">
        <f>$AW39-SUM($BE39:BU39)</f>
        <v>382.82353238495233</v>
      </c>
      <c r="BV116">
        <f>$AW39-SUM($BE39:BV39)</f>
        <v>382.82353238495233</v>
      </c>
      <c r="BW116">
        <f>$AW39-SUM($BE39:BW39)</f>
        <v>382.82353238495233</v>
      </c>
      <c r="BX116">
        <f>$AW39-SUM($BE39:BX39)</f>
        <v>382.82353238495233</v>
      </c>
      <c r="BY116">
        <f>$AW39-SUM($BE39:BY39)</f>
        <v>382.82353238495233</v>
      </c>
      <c r="BZ116">
        <f>$AW39-SUM($BE39:BZ39)</f>
        <v>382.82353238495233</v>
      </c>
      <c r="CA116">
        <f>$AW39-SUM($BE39:CA39)</f>
        <v>382.82353238495233</v>
      </c>
      <c r="CB116">
        <f>$AW39-SUM($BE39:CB39)</f>
        <v>382.82353238495233</v>
      </c>
      <c r="CC116">
        <f>$AW39-SUM($BE39:CC39)</f>
        <v>382.82353238495233</v>
      </c>
      <c r="CD116">
        <f>$AW39-SUM($BE39:CD39)</f>
        <v>382.82353238495233</v>
      </c>
      <c r="CE116">
        <f>$AW39-SUM($BE39:CE39)</f>
        <v>382.82353238495233</v>
      </c>
      <c r="CF116">
        <f>$AW39-SUM($BE39:CF39)</f>
        <v>382.82353238495233</v>
      </c>
      <c r="CG116">
        <f>$AW39-SUM($BE39:CG39)</f>
        <v>382.82353238495233</v>
      </c>
      <c r="CH116">
        <f>$AW39-SUM($BE39:CH39)</f>
        <v>378.16733577046551</v>
      </c>
      <c r="CI116">
        <f>$AW39-SUM($BE39:CI39)</f>
        <v>358.53751177223751</v>
      </c>
      <c r="CJ116">
        <f>$AW39-SUM($BE39:CJ39)</f>
        <v>331.06933873057841</v>
      </c>
      <c r="CK116">
        <f>$AW39-SUM($BE39:CK39)</f>
        <v>301.84312151511972</v>
      </c>
      <c r="CL116">
        <f>$AW39-SUM($BE39:CL39)</f>
        <v>273.65687136430444</v>
      </c>
      <c r="CM116">
        <f>$AW39-SUM($BE39:CM39)</f>
        <v>247.62008596447922</v>
      </c>
      <c r="CN116">
        <f>$AW39-SUM($BE39:CN39)</f>
        <v>224.06144448060945</v>
      </c>
      <c r="CO116">
        <f>$AW39-SUM($BE39:CO39)</f>
        <v>202.96013628176507</v>
      </c>
      <c r="CP116">
        <f>$AW39-SUM($BE39:CP39)</f>
        <v>184.14801303216524</v>
      </c>
      <c r="CQ116">
        <f>$AW39-SUM($BE39:CQ39)</f>
        <v>167.40466992952088</v>
      </c>
      <c r="CR116">
        <f>$AW39-SUM($BE39:CR39)</f>
        <v>152.50177849210309</v>
      </c>
      <c r="CS116">
        <f>$AW39-SUM($BE39:CS39)</f>
        <v>139.22293797307327</v>
      </c>
      <c r="CT116">
        <f>$AW39-SUM($BE39:CT39)</f>
        <v>127.3716028186827</v>
      </c>
      <c r="CU116">
        <f>$AW39-SUM($BE39:CU39)</f>
        <v>116.77323266400555</v>
      </c>
      <c r="CV116">
        <f>$AW39-SUM($BE39:CV39)</f>
        <v>107.27472630920721</v>
      </c>
      <c r="CW116">
        <f>$AW39-SUM($BE39:CW39)</f>
        <v>98.742677446237565</v>
      </c>
      <c r="CX116">
        <f>$AW39-SUM($BE39:CX39)</f>
        <v>91.061221431940737</v>
      </c>
      <c r="CY116">
        <f>$AW39-SUM($BE39:CY39)</f>
        <v>84.129849099064302</v>
      </c>
      <c r="CZ116">
        <f>$AW39-SUM($BE39:CZ39)</f>
        <v>77.861360909809321</v>
      </c>
      <c r="DA116">
        <f>$AW39-SUM($BE39:DA39)</f>
        <v>72.180030643894725</v>
      </c>
      <c r="DB116">
        <f>$AW39-SUM($BE39:DB39)</f>
        <v>67.019995300899666</v>
      </c>
      <c r="DC116">
        <f>$AW39-SUM($BE39:DC39)</f>
        <v>62.32386255061482</v>
      </c>
      <c r="DD116">
        <f>$AW39-SUM($BE39:DD39)</f>
        <v>58.04151598463568</v>
      </c>
      <c r="DE116">
        <f>$AW39-SUM($BE39:DE39)</f>
        <v>54.129094725879384</v>
      </c>
      <c r="DF116">
        <f>$AW39-SUM($BE39:DF39)</f>
        <v>50.548123951254581</v>
      </c>
      <c r="DG116">
        <f>$AW39-SUM($BE39:DG39)</f>
        <v>47.264774602793636</v>
      </c>
      <c r="DH116">
        <f>$AW39-SUM($BE39:DH39)</f>
        <v>44.249232960322161</v>
      </c>
      <c r="DI116">
        <f>$AW39-SUM($BE39:DI39)</f>
        <v>41.475163286443149</v>
      </c>
      <c r="DJ116">
        <f>$AW39-SUM($BE39:DJ39)</f>
        <v>38.919249169630916</v>
      </c>
      <c r="DK116">
        <f>$AW39-SUM($BE39:DK39)</f>
        <v>36.560801369155797</v>
      </c>
      <c r="DL116">
        <f>$AW39-SUM($BE39:DL39)</f>
        <v>34.381421870157851</v>
      </c>
      <c r="DM116">
        <f>$AW39-SUM($BE39:DM39)</f>
        <v>32.364715491833067</v>
      </c>
      <c r="DN116">
        <f>$AW39-SUM($BE39:DN39)</f>
        <v>30.496041778221979</v>
      </c>
      <c r="DO116">
        <f>$AW39-SUM($BE39:DO39)</f>
        <v>28.762301068464524</v>
      </c>
      <c r="DP116">
        <f>$AW39-SUM($BE39:DP39)</f>
        <v>27.15174962174865</v>
      </c>
      <c r="DQ116">
        <f>$AW39-SUM($BE39:DQ39)</f>
        <v>25.653839489969755</v>
      </c>
      <c r="DR116">
        <f>$AW39-SUM($BE39:DR39)</f>
        <v>24.259079513802305</v>
      </c>
      <c r="DS116">
        <f>$AW39-SUM($BE39:DS39)</f>
        <v>22.958914387588095</v>
      </c>
      <c r="DT116">
        <f>$AW39-SUM($BE39:DT39)</f>
        <v>21.745619214041085</v>
      </c>
      <c r="DU116">
        <f>$AW39-SUM($BE39:DU39)</f>
        <v>20.612207367134431</v>
      </c>
      <c r="DV116">
        <f>$AW39-SUM($BE39:DV39)</f>
        <v>19.552349813957107</v>
      </c>
      <c r="DW116" s="4">
        <f>$AW39-SUM($BE39:DW39)</f>
        <v>18.560304324829247</v>
      </c>
    </row>
    <row r="117" spans="4:127" x14ac:dyDescent="0.25">
      <c r="D117"/>
      <c r="BD117">
        <v>2020</v>
      </c>
      <c r="BE117">
        <f>$AW40-SUM($BE40:BE40)</f>
        <v>432.8674955123098</v>
      </c>
      <c r="BF117">
        <f>$AW40-SUM($BE40:BF40)</f>
        <v>432.8674955123098</v>
      </c>
      <c r="BG117">
        <f>$AW40-SUM($BE40:BG40)</f>
        <v>432.8674955123098</v>
      </c>
      <c r="BH117">
        <f>$AW40-SUM($BE40:BH40)</f>
        <v>432.8674955123098</v>
      </c>
      <c r="BI117">
        <f>$AW40-SUM($BE40:BI40)</f>
        <v>432.8674955123098</v>
      </c>
      <c r="BJ117">
        <f>$AW40-SUM($BE40:BJ40)</f>
        <v>432.8674955123098</v>
      </c>
      <c r="BK117">
        <f>$AW40-SUM($BE40:BK40)</f>
        <v>432.8674955123098</v>
      </c>
      <c r="BL117">
        <f>$AW40-SUM($BE40:BL40)</f>
        <v>432.8674955123098</v>
      </c>
      <c r="BM117">
        <f>$AW40-SUM($BE40:BM40)</f>
        <v>432.8674955123098</v>
      </c>
      <c r="BN117">
        <f>$AW40-SUM($BE40:BN40)</f>
        <v>432.8674955123098</v>
      </c>
      <c r="BO117">
        <f>$AW40-SUM($BE40:BO40)</f>
        <v>432.8674955123098</v>
      </c>
      <c r="BP117">
        <f>$AW40-SUM($BE40:BP40)</f>
        <v>432.8674955123098</v>
      </c>
      <c r="BQ117">
        <f>$AW40-SUM($BE40:BQ40)</f>
        <v>432.8674955123098</v>
      </c>
      <c r="BR117">
        <f>$AW40-SUM($BE40:BR40)</f>
        <v>432.8674955123098</v>
      </c>
      <c r="BS117">
        <f>$AW40-SUM($BE40:BS40)</f>
        <v>432.8674955123098</v>
      </c>
      <c r="BT117">
        <f>$AW40-SUM($BE40:BT40)</f>
        <v>432.8674955123098</v>
      </c>
      <c r="BU117">
        <f>$AW40-SUM($BE40:BU40)</f>
        <v>432.8674955123098</v>
      </c>
      <c r="BV117">
        <f>$AW40-SUM($BE40:BV40)</f>
        <v>432.8674955123098</v>
      </c>
      <c r="BW117">
        <f>$AW40-SUM($BE40:BW40)</f>
        <v>432.8674955123098</v>
      </c>
      <c r="BX117">
        <f>$AW40-SUM($BE40:BX40)</f>
        <v>432.8674955123098</v>
      </c>
      <c r="BY117">
        <f>$AW40-SUM($BE40:BY40)</f>
        <v>432.8674955123098</v>
      </c>
      <c r="BZ117">
        <f>$AW40-SUM($BE40:BZ40)</f>
        <v>432.8674955123098</v>
      </c>
      <c r="CA117">
        <f>$AW40-SUM($BE40:CA40)</f>
        <v>432.8674955123098</v>
      </c>
      <c r="CB117">
        <f>$AW40-SUM($BE40:CB40)</f>
        <v>432.8674955123098</v>
      </c>
      <c r="CC117">
        <f>$AW40-SUM($BE40:CC40)</f>
        <v>432.8674955123098</v>
      </c>
      <c r="CD117">
        <f>$AW40-SUM($BE40:CD40)</f>
        <v>432.8674955123098</v>
      </c>
      <c r="CE117">
        <f>$AW40-SUM($BE40:CE40)</f>
        <v>432.8674955123098</v>
      </c>
      <c r="CF117">
        <f>$AW40-SUM($BE40:CF40)</f>
        <v>432.8674955123098</v>
      </c>
      <c r="CG117">
        <f>$AW40-SUM($BE40:CG40)</f>
        <v>432.8674955123098</v>
      </c>
      <c r="CH117">
        <f>$AW40-SUM($BE40:CH40)</f>
        <v>432.8674955123098</v>
      </c>
      <c r="CI117">
        <f>$AW40-SUM($BE40:CI40)</f>
        <v>427.60262541780605</v>
      </c>
      <c r="CJ117">
        <f>$AW40-SUM($BE40:CJ40)</f>
        <v>405.4067256555208</v>
      </c>
      <c r="CK117">
        <f>$AW40-SUM($BE40:CK40)</f>
        <v>374.34782183953092</v>
      </c>
      <c r="CL117">
        <f>$AW40-SUM($BE40:CL40)</f>
        <v>341.30105647863627</v>
      </c>
      <c r="CM117">
        <f>$AW40-SUM($BE40:CM40)</f>
        <v>309.43020612976557</v>
      </c>
      <c r="CN117">
        <f>$AW40-SUM($BE40:CN40)</f>
        <v>279.98980570035661</v>
      </c>
      <c r="CO117">
        <f>$AW40-SUM($BE40:CO40)</f>
        <v>253.35150038703372</v>
      </c>
      <c r="CP117">
        <f>$AW40-SUM($BE40:CP40)</f>
        <v>229.49175912410041</v>
      </c>
      <c r="CQ117">
        <f>$AW40-SUM($BE40:CQ40)</f>
        <v>208.22045266707013</v>
      </c>
      <c r="CR117">
        <f>$AW40-SUM($BE40:CR40)</f>
        <v>189.28836416615471</v>
      </c>
      <c r="CS117">
        <f>$AW40-SUM($BE40:CS40)</f>
        <v>172.43731728244319</v>
      </c>
      <c r="CT117">
        <f>$AW40-SUM($BE40:CT40)</f>
        <v>157.42262264501983</v>
      </c>
      <c r="CU117">
        <f>$AW40-SUM($BE40:CU40)</f>
        <v>144.02204161281867</v>
      </c>
      <c r="CV117">
        <f>$AW40-SUM($BE40:CV40)</f>
        <v>132.03821732493685</v>
      </c>
      <c r="CW117">
        <f>$AW40-SUM($BE40:CW40)</f>
        <v>121.29803468440144</v>
      </c>
      <c r="CX117">
        <f>$AW40-SUM($BE40:CX40)</f>
        <v>111.65064806766514</v>
      </c>
      <c r="CY117">
        <f>$AW40-SUM($BE40:CY40)</f>
        <v>102.96504662074807</v>
      </c>
      <c r="CZ117">
        <f>$AW40-SUM($BE40:CZ40)</f>
        <v>95.12758228436428</v>
      </c>
      <c r="DA117">
        <f>$AW40-SUM($BE40:DA40)</f>
        <v>88.039656507631264</v>
      </c>
      <c r="DB117">
        <f>$AW40-SUM($BE40:DB40)</f>
        <v>81.615643887341719</v>
      </c>
      <c r="DC117">
        <f>$AW40-SUM($BE40:DC40)</f>
        <v>75.781071592994749</v>
      </c>
      <c r="DD117">
        <f>$AW40-SUM($BE40:DD40)</f>
        <v>70.471044778433566</v>
      </c>
      <c r="DE117">
        <f>$AW40-SUM($BE40:DE40)</f>
        <v>65.628895651960477</v>
      </c>
      <c r="DF117">
        <f>$AW40-SUM($BE40:DF40)</f>
        <v>61.205029697022326</v>
      </c>
      <c r="DG117">
        <f>$AW40-SUM($BE40:DG40)</f>
        <v>57.1559425339168</v>
      </c>
      <c r="DH117">
        <f>$AW40-SUM($BE40:DH40)</f>
        <v>53.443382857906329</v>
      </c>
      <c r="DI117">
        <f>$AW40-SUM($BE40:DI40)</f>
        <v>50.033639600333743</v>
      </c>
      <c r="DJ117">
        <f>$AW40-SUM($BE40:DJ40)</f>
        <v>46.896934328774876</v>
      </c>
      <c r="DK117">
        <f>$AW40-SUM($BE40:DK40)</f>
        <v>44.006902632978949</v>
      </c>
      <c r="DL117">
        <f>$AW40-SUM($BE40:DL40)</f>
        <v>41.340150705979852</v>
      </c>
      <c r="DM117">
        <f>$AW40-SUM($BE40:DM40)</f>
        <v>38.875875483333687</v>
      </c>
      <c r="DN117">
        <f>$AW40-SUM($BE40:DN40)</f>
        <v>36.595538551769835</v>
      </c>
      <c r="DO117">
        <f>$AW40-SUM($BE40:DO40)</f>
        <v>34.48258560631939</v>
      </c>
      <c r="DP117">
        <f>$AW40-SUM($BE40:DP40)</f>
        <v>32.522204554963878</v>
      </c>
      <c r="DQ117">
        <f>$AW40-SUM($BE40:DQ40)</f>
        <v>30.701116476103039</v>
      </c>
      <c r="DR117">
        <f>$AW40-SUM($BE40:DR40)</f>
        <v>29.007394558836836</v>
      </c>
      <c r="DS117">
        <f>$AW40-SUM($BE40:DS40)</f>
        <v>27.430306927982144</v>
      </c>
      <c r="DT117">
        <f>$AW40-SUM($BE40:DT40)</f>
        <v>25.960179899921457</v>
      </c>
      <c r="DU117">
        <f>$AW40-SUM($BE40:DU40)</f>
        <v>24.588278753148813</v>
      </c>
      <c r="DV117">
        <f>$AW40-SUM($BE40:DV40)</f>
        <v>23.306703546687572</v>
      </c>
      <c r="DW117" s="4">
        <f>$AW40-SUM($BE40:DW40)</f>
        <v>22.108297895432202</v>
      </c>
    </row>
    <row r="118" spans="4:127" x14ac:dyDescent="0.25">
      <c r="D118"/>
      <c r="BD118">
        <v>2021</v>
      </c>
      <c r="BE118">
        <f>$AW41-SUM($BE41:BE41)</f>
        <v>505.86378641233921</v>
      </c>
      <c r="BF118">
        <f>$AW41-SUM($BE41:BF41)</f>
        <v>505.86378641233921</v>
      </c>
      <c r="BG118">
        <f>$AW41-SUM($BE41:BG41)</f>
        <v>505.86378641233921</v>
      </c>
      <c r="BH118">
        <f>$AW41-SUM($BE41:BH41)</f>
        <v>505.86378641233921</v>
      </c>
      <c r="BI118">
        <f>$AW41-SUM($BE41:BI41)</f>
        <v>505.86378641233921</v>
      </c>
      <c r="BJ118">
        <f>$AW41-SUM($BE41:BJ41)</f>
        <v>505.86378641233921</v>
      </c>
      <c r="BK118">
        <f>$AW41-SUM($BE41:BK41)</f>
        <v>505.86378641233921</v>
      </c>
      <c r="BL118">
        <f>$AW41-SUM($BE41:BL41)</f>
        <v>505.86378641233921</v>
      </c>
      <c r="BM118">
        <f>$AW41-SUM($BE41:BM41)</f>
        <v>505.86378641233921</v>
      </c>
      <c r="BN118">
        <f>$AW41-SUM($BE41:BN41)</f>
        <v>505.86378641233921</v>
      </c>
      <c r="BO118">
        <f>$AW41-SUM($BE41:BO41)</f>
        <v>505.86378641233921</v>
      </c>
      <c r="BP118">
        <f>$AW41-SUM($BE41:BP41)</f>
        <v>505.86378641233921</v>
      </c>
      <c r="BQ118">
        <f>$AW41-SUM($BE41:BQ41)</f>
        <v>505.86378641233921</v>
      </c>
      <c r="BR118">
        <f>$AW41-SUM($BE41:BR41)</f>
        <v>505.86378641233921</v>
      </c>
      <c r="BS118">
        <f>$AW41-SUM($BE41:BS41)</f>
        <v>505.86378641233921</v>
      </c>
      <c r="BT118">
        <f>$AW41-SUM($BE41:BT41)</f>
        <v>505.86378641233921</v>
      </c>
      <c r="BU118">
        <f>$AW41-SUM($BE41:BU41)</f>
        <v>505.86378641233921</v>
      </c>
      <c r="BV118">
        <f>$AW41-SUM($BE41:BV41)</f>
        <v>505.86378641233921</v>
      </c>
      <c r="BW118">
        <f>$AW41-SUM($BE41:BW41)</f>
        <v>505.86378641233921</v>
      </c>
      <c r="BX118">
        <f>$AW41-SUM($BE41:BX41)</f>
        <v>505.86378641233921</v>
      </c>
      <c r="BY118">
        <f>$AW41-SUM($BE41:BY41)</f>
        <v>505.86378641233921</v>
      </c>
      <c r="BZ118">
        <f>$AW41-SUM($BE41:BZ41)</f>
        <v>505.86378641233921</v>
      </c>
      <c r="CA118">
        <f>$AW41-SUM($BE41:CA41)</f>
        <v>505.86378641233921</v>
      </c>
      <c r="CB118">
        <f>$AW41-SUM($BE41:CB41)</f>
        <v>505.86378641233921</v>
      </c>
      <c r="CC118">
        <f>$AW41-SUM($BE41:CC41)</f>
        <v>505.86378641233921</v>
      </c>
      <c r="CD118">
        <f>$AW41-SUM($BE41:CD41)</f>
        <v>505.86378641233921</v>
      </c>
      <c r="CE118">
        <f>$AW41-SUM($BE41:CE41)</f>
        <v>505.86378641233921</v>
      </c>
      <c r="CF118">
        <f>$AW41-SUM($BE41:CF41)</f>
        <v>505.86378641233921</v>
      </c>
      <c r="CG118">
        <f>$AW41-SUM($BE41:CG41)</f>
        <v>505.86378641233921</v>
      </c>
      <c r="CH118">
        <f>$AW41-SUM($BE41:CH41)</f>
        <v>505.86378641233921</v>
      </c>
      <c r="CI118">
        <f>$AW41-SUM($BE41:CI41)</f>
        <v>505.86378641233921</v>
      </c>
      <c r="CJ118">
        <f>$AW41-SUM($BE41:CJ41)</f>
        <v>499.71107883187591</v>
      </c>
      <c r="CK118">
        <f>$AW41-SUM($BE41:CK41)</f>
        <v>473.77218988090578</v>
      </c>
      <c r="CL118">
        <f>$AW41-SUM($BE41:CL41)</f>
        <v>437.47569072340207</v>
      </c>
      <c r="CM118">
        <f>$AW41-SUM($BE41:CM41)</f>
        <v>398.85610845525991</v>
      </c>
      <c r="CN118">
        <f>$AW41-SUM($BE41:CN41)</f>
        <v>361.61074076004968</v>
      </c>
      <c r="CO118">
        <f>$AW41-SUM($BE41:CO41)</f>
        <v>327.2056801142042</v>
      </c>
      <c r="CP118">
        <f>$AW41-SUM($BE41:CP41)</f>
        <v>296.07524382802148</v>
      </c>
      <c r="CQ118">
        <f>$AW41-SUM($BE41:CQ41)</f>
        <v>268.19193269189361</v>
      </c>
      <c r="CR118">
        <f>$AW41-SUM($BE41:CR41)</f>
        <v>243.33355515639533</v>
      </c>
      <c r="CS118">
        <f>$AW41-SUM($BE41:CS41)</f>
        <v>221.20886787205239</v>
      </c>
      <c r="CT118">
        <f>$AW41-SUM($BE41:CT41)</f>
        <v>201.51615712342624</v>
      </c>
      <c r="CU118">
        <f>$AW41-SUM($BE41:CU41)</f>
        <v>183.96947052797583</v>
      </c>
      <c r="CV118">
        <f>$AW41-SUM($BE41:CV41)</f>
        <v>168.30909239528262</v>
      </c>
      <c r="CW118">
        <f>$AW41-SUM($BE41:CW41)</f>
        <v>154.30438473574048</v>
      </c>
      <c r="CX118">
        <f>$AW41-SUM($BE41:CX41)</f>
        <v>141.75303931565725</v>
      </c>
      <c r="CY118">
        <f>$AW41-SUM($BE41:CY41)</f>
        <v>130.47877277099548</v>
      </c>
      <c r="CZ118">
        <f>$AW41-SUM($BE41:CZ41)</f>
        <v>120.32848132902461</v>
      </c>
      <c r="DA118">
        <f>$AW41-SUM($BE41:DA41)</f>
        <v>111.16935197378746</v>
      </c>
      <c r="DB118">
        <f>$AW41-SUM($BE41:DB41)</f>
        <v>102.88615906048216</v>
      </c>
      <c r="DC118">
        <f>$AW41-SUM($BE41:DC41)</f>
        <v>95.378837809173547</v>
      </c>
      <c r="DD118">
        <f>$AW41-SUM($BE41:DD41)</f>
        <v>88.560356718506966</v>
      </c>
      <c r="DE118">
        <f>$AW41-SUM($BE41:DE41)</f>
        <v>82.354877447798856</v>
      </c>
      <c r="DF118">
        <f>$AW41-SUM($BE41:DF41)</f>
        <v>76.696176074086623</v>
      </c>
      <c r="DG118">
        <f>$AW41-SUM($BE41:DG41)</f>
        <v>71.52629474609023</v>
      </c>
      <c r="DH118">
        <f>$AW41-SUM($BE41:DH41)</f>
        <v>66.794392755117372</v>
      </c>
      <c r="DI118">
        <f>$AW41-SUM($BE41:DI41)</f>
        <v>62.455768315863224</v>
      </c>
      <c r="DJ118">
        <f>$AW41-SUM($BE41:DJ41)</f>
        <v>58.471025518467059</v>
      </c>
      <c r="DK118">
        <f>$AW41-SUM($BE41:DK41)</f>
        <v>54.805364266512015</v>
      </c>
      <c r="DL118">
        <f>$AW41-SUM($BE41:DL41)</f>
        <v>51.427974206866338</v>
      </c>
      <c r="DM118">
        <f>$AW41-SUM($BE41:DM41)</f>
        <v>48.311516535177248</v>
      </c>
      <c r="DN118">
        <f>$AW41-SUM($BE41:DN41)</f>
        <v>45.431680077569069</v>
      </c>
      <c r="DO118">
        <f>$AW41-SUM($BE41:DO41)</f>
        <v>42.766800209119822</v>
      </c>
      <c r="DP118">
        <f>$AW41-SUM($BE41:DP41)</f>
        <v>40.297531001849791</v>
      </c>
      <c r="DQ118">
        <f>$AW41-SUM($BE41:DQ41)</f>
        <v>38.006562537525554</v>
      </c>
      <c r="DR118">
        <f>$AW41-SUM($BE41:DR41)</f>
        <v>35.878376613395119</v>
      </c>
      <c r="DS118">
        <f>$AW41-SUM($BE41:DS41)</f>
        <v>33.899035149597296</v>
      </c>
      <c r="DT118">
        <f>$AW41-SUM($BE41:DT41)</f>
        <v>32.055996509091358</v>
      </c>
      <c r="DU118">
        <f>$AW41-SUM($BE41:DU41)</f>
        <v>30.337955693756555</v>
      </c>
      <c r="DV118">
        <f>$AW41-SUM($BE41:DV41)</f>
        <v>28.73470500876698</v>
      </c>
      <c r="DW118" s="4">
        <f>$AW41-SUM($BE41:DW41)</f>
        <v>27.237012312424952</v>
      </c>
    </row>
    <row r="119" spans="4:127" x14ac:dyDescent="0.25">
      <c r="D119"/>
      <c r="BD119">
        <v>2022</v>
      </c>
      <c r="BE119">
        <f>$AW42-SUM($BE42:BE42)</f>
        <v>457.40357485295624</v>
      </c>
      <c r="BF119">
        <f>$AW42-SUM($BE42:BF42)</f>
        <v>457.40357485295624</v>
      </c>
      <c r="BG119">
        <f>$AW42-SUM($BE42:BG42)</f>
        <v>457.40357485295624</v>
      </c>
      <c r="BH119">
        <f>$AW42-SUM($BE42:BH42)</f>
        <v>457.40357485295624</v>
      </c>
      <c r="BI119">
        <f>$AW42-SUM($BE42:BI42)</f>
        <v>457.40357485295624</v>
      </c>
      <c r="BJ119">
        <f>$AW42-SUM($BE42:BJ42)</f>
        <v>457.40357485295624</v>
      </c>
      <c r="BK119">
        <f>$AW42-SUM($BE42:BK42)</f>
        <v>457.40357485295624</v>
      </c>
      <c r="BL119">
        <f>$AW42-SUM($BE42:BL42)</f>
        <v>457.40357485295624</v>
      </c>
      <c r="BM119">
        <f>$AW42-SUM($BE42:BM42)</f>
        <v>457.40357485295624</v>
      </c>
      <c r="BN119">
        <f>$AW42-SUM($BE42:BN42)</f>
        <v>457.40357485295624</v>
      </c>
      <c r="BO119">
        <f>$AW42-SUM($BE42:BO42)</f>
        <v>457.40357485295624</v>
      </c>
      <c r="BP119">
        <f>$AW42-SUM($BE42:BP42)</f>
        <v>457.40357485295624</v>
      </c>
      <c r="BQ119">
        <f>$AW42-SUM($BE42:BQ42)</f>
        <v>457.40357485295624</v>
      </c>
      <c r="BR119">
        <f>$AW42-SUM($BE42:BR42)</f>
        <v>457.40357485295624</v>
      </c>
      <c r="BS119">
        <f>$AW42-SUM($BE42:BS42)</f>
        <v>457.40357485295624</v>
      </c>
      <c r="BT119">
        <f>$AW42-SUM($BE42:BT42)</f>
        <v>457.40357485295624</v>
      </c>
      <c r="BU119">
        <f>$AW42-SUM($BE42:BU42)</f>
        <v>457.40357485295624</v>
      </c>
      <c r="BV119">
        <f>$AW42-SUM($BE42:BV42)</f>
        <v>457.40357485295624</v>
      </c>
      <c r="BW119">
        <f>$AW42-SUM($BE42:BW42)</f>
        <v>457.40357485295624</v>
      </c>
      <c r="BX119">
        <f>$AW42-SUM($BE42:BX42)</f>
        <v>457.40357485295624</v>
      </c>
      <c r="BY119">
        <f>$AW42-SUM($BE42:BY42)</f>
        <v>457.40357485295624</v>
      </c>
      <c r="BZ119">
        <f>$AW42-SUM($BE42:BZ42)</f>
        <v>457.40357485295624</v>
      </c>
      <c r="CA119">
        <f>$AW42-SUM($BE42:CA42)</f>
        <v>457.40357485295624</v>
      </c>
      <c r="CB119">
        <f>$AW42-SUM($BE42:CB42)</f>
        <v>457.40357485295624</v>
      </c>
      <c r="CC119">
        <f>$AW42-SUM($BE42:CC42)</f>
        <v>457.40357485295624</v>
      </c>
      <c r="CD119">
        <f>$AW42-SUM($BE42:CD42)</f>
        <v>457.40357485295624</v>
      </c>
      <c r="CE119">
        <f>$AW42-SUM($BE42:CE42)</f>
        <v>457.40357485295624</v>
      </c>
      <c r="CF119">
        <f>$AW42-SUM($BE42:CF42)</f>
        <v>457.40357485295624</v>
      </c>
      <c r="CG119">
        <f>$AW42-SUM($BE42:CG42)</f>
        <v>457.40357485295624</v>
      </c>
      <c r="CH119">
        <f>$AW42-SUM($BE42:CH42)</f>
        <v>457.40357485295624</v>
      </c>
      <c r="CI119">
        <f>$AW42-SUM($BE42:CI42)</f>
        <v>457.40357485295624</v>
      </c>
      <c r="CJ119">
        <f>$AW42-SUM($BE42:CJ42)</f>
        <v>457.40357485295624</v>
      </c>
      <c r="CK119">
        <f>$AW42-SUM($BE42:CK42)</f>
        <v>451.84027793801397</v>
      </c>
      <c r="CL119">
        <f>$AW42-SUM($BE42:CL42)</f>
        <v>428.3862556249469</v>
      </c>
      <c r="CM119">
        <f>$AW42-SUM($BE42:CM42)</f>
        <v>395.56685064829418</v>
      </c>
      <c r="CN119">
        <f>$AW42-SUM($BE42:CN42)</f>
        <v>360.64690685461613</v>
      </c>
      <c r="CO119">
        <f>$AW42-SUM($BE42:CO42)</f>
        <v>326.9695320590709</v>
      </c>
      <c r="CP119">
        <f>$AW42-SUM($BE42:CP42)</f>
        <v>295.86037153969153</v>
      </c>
      <c r="CQ119">
        <f>$AW42-SUM($BE42:CQ42)</f>
        <v>267.71213632993579</v>
      </c>
      <c r="CR119">
        <f>$AW42-SUM($BE42:CR42)</f>
        <v>242.49996156080499</v>
      </c>
      <c r="CS119">
        <f>$AW42-SUM($BE42:CS42)</f>
        <v>220.02294095725233</v>
      </c>
      <c r="CT119">
        <f>$AW42-SUM($BE42:CT42)</f>
        <v>200.01773139652431</v>
      </c>
      <c r="CU119">
        <f>$AW42-SUM($BE42:CU42)</f>
        <v>182.21152241910477</v>
      </c>
      <c r="CV119">
        <f>$AW42-SUM($BE42:CV42)</f>
        <v>166.34575501064</v>
      </c>
      <c r="CW119">
        <f>$AW42-SUM($BE42:CW42)</f>
        <v>152.18559345362326</v>
      </c>
      <c r="CX119">
        <f>$AW42-SUM($BE42:CX42)</f>
        <v>139.5224941760963</v>
      </c>
      <c r="CY119">
        <f>$AW42-SUM($BE42:CY42)</f>
        <v>128.17352945759654</v>
      </c>
      <c r="CZ119">
        <f>$AW42-SUM($BE42:CZ42)</f>
        <v>117.97930334398836</v>
      </c>
      <c r="DA119">
        <f>$AW42-SUM($BE42:DA42)</f>
        <v>108.80137893812383</v>
      </c>
      <c r="DB119">
        <f>$AW42-SUM($BE42:DB42)</f>
        <v>100.51966630686769</v>
      </c>
      <c r="DC119">
        <f>$AW42-SUM($BE42:DC42)</f>
        <v>93.029978071595963</v>
      </c>
      <c r="DD119">
        <f>$AW42-SUM($BE42:DD42)</f>
        <v>86.241835353826616</v>
      </c>
      <c r="DE119">
        <f>$AW42-SUM($BE42:DE42)</f>
        <v>80.07654400522631</v>
      </c>
      <c r="DF119">
        <f>$AW42-SUM($BE42:DF42)</f>
        <v>74.465530767397581</v>
      </c>
      <c r="DG119">
        <f>$AW42-SUM($BE42:DG42)</f>
        <v>69.348915767699793</v>
      </c>
      <c r="DH119">
        <f>$AW42-SUM($BE42:DH42)</f>
        <v>64.674293340658608</v>
      </c>
      <c r="DI119">
        <f>$AW42-SUM($BE42:DI42)</f>
        <v>60.395693162782663</v>
      </c>
      <c r="DJ119">
        <f>$AW42-SUM($BE42:DJ42)</f>
        <v>56.47269574378646</v>
      </c>
      <c r="DK119">
        <f>$AW42-SUM($BE42:DK42)</f>
        <v>52.869679182104903</v>
      </c>
      <c r="DL119">
        <f>$AW42-SUM($BE42:DL42)</f>
        <v>49.555177124672582</v>
      </c>
      <c r="DM119">
        <f>$AW42-SUM($BE42:DM42)</f>
        <v>46.50133075644186</v>
      </c>
      <c r="DN119">
        <f>$AW42-SUM($BE42:DN42)</f>
        <v>43.683420247333856</v>
      </c>
      <c r="DO119">
        <f>$AW42-SUM($BE42:DO42)</f>
        <v>41.079463359959163</v>
      </c>
      <c r="DP119">
        <f>$AW42-SUM($BE42:DP42)</f>
        <v>38.669870874544927</v>
      </c>
      <c r="DQ119">
        <f>$AW42-SUM($BE42:DQ42)</f>
        <v>36.437150144148518</v>
      </c>
      <c r="DR119">
        <f>$AW42-SUM($BE42:DR42)</f>
        <v>34.365649488034876</v>
      </c>
      <c r="DS119">
        <f>$AW42-SUM($BE42:DS42)</f>
        <v>32.441337300058763</v>
      </c>
      <c r="DT119">
        <f>$AW42-SUM($BE42:DT42)</f>
        <v>30.651610726000683</v>
      </c>
      <c r="DU119">
        <f>$AW42-SUM($BE42:DU42)</f>
        <v>28.985129579488216</v>
      </c>
      <c r="DV119">
        <f>$AW42-SUM($BE42:DV42)</f>
        <v>27.431671846823292</v>
      </c>
      <c r="DW119" s="4">
        <f>$AW42-SUM($BE42:DW42)</f>
        <v>25.982007699285532</v>
      </c>
    </row>
    <row r="120" spans="4:127" x14ac:dyDescent="0.25">
      <c r="D120"/>
      <c r="BD120">
        <v>2023</v>
      </c>
      <c r="BE120">
        <f>$AW43-SUM($BE43:BE43)</f>
        <v>416.89195118475271</v>
      </c>
      <c r="BF120">
        <f>$AW43-SUM($BE43:BF43)</f>
        <v>416.89195118475271</v>
      </c>
      <c r="BG120">
        <f>$AW43-SUM($BE43:BG43)</f>
        <v>416.89195118475271</v>
      </c>
      <c r="BH120">
        <f>$AW43-SUM($BE43:BH43)</f>
        <v>416.89195118475271</v>
      </c>
      <c r="BI120">
        <f>$AW43-SUM($BE43:BI43)</f>
        <v>416.89195118475271</v>
      </c>
      <c r="BJ120">
        <f>$AW43-SUM($BE43:BJ43)</f>
        <v>416.89195118475271</v>
      </c>
      <c r="BK120">
        <f>$AW43-SUM($BE43:BK43)</f>
        <v>416.89195118475271</v>
      </c>
      <c r="BL120">
        <f>$AW43-SUM($BE43:BL43)</f>
        <v>416.89195118475271</v>
      </c>
      <c r="BM120">
        <f>$AW43-SUM($BE43:BM43)</f>
        <v>416.89195118475271</v>
      </c>
      <c r="BN120">
        <f>$AW43-SUM($BE43:BN43)</f>
        <v>416.89195118475271</v>
      </c>
      <c r="BO120">
        <f>$AW43-SUM($BE43:BO43)</f>
        <v>416.89195118475271</v>
      </c>
      <c r="BP120">
        <f>$AW43-SUM($BE43:BP43)</f>
        <v>416.89195118475271</v>
      </c>
      <c r="BQ120">
        <f>$AW43-SUM($BE43:BQ43)</f>
        <v>416.89195118475271</v>
      </c>
      <c r="BR120">
        <f>$AW43-SUM($BE43:BR43)</f>
        <v>416.89195118475271</v>
      </c>
      <c r="BS120">
        <f>$AW43-SUM($BE43:BS43)</f>
        <v>416.89195118475271</v>
      </c>
      <c r="BT120">
        <f>$AW43-SUM($BE43:BT43)</f>
        <v>416.89195118475271</v>
      </c>
      <c r="BU120">
        <f>$AW43-SUM($BE43:BU43)</f>
        <v>416.89195118475271</v>
      </c>
      <c r="BV120">
        <f>$AW43-SUM($BE43:BV43)</f>
        <v>416.89195118475271</v>
      </c>
      <c r="BW120">
        <f>$AW43-SUM($BE43:BW43)</f>
        <v>416.89195118475271</v>
      </c>
      <c r="BX120">
        <f>$AW43-SUM($BE43:BX43)</f>
        <v>416.89195118475271</v>
      </c>
      <c r="BY120">
        <f>$AW43-SUM($BE43:BY43)</f>
        <v>416.89195118475271</v>
      </c>
      <c r="BZ120">
        <f>$AW43-SUM($BE43:BZ43)</f>
        <v>416.89195118475271</v>
      </c>
      <c r="CA120">
        <f>$AW43-SUM($BE43:CA43)</f>
        <v>416.89195118475271</v>
      </c>
      <c r="CB120">
        <f>$AW43-SUM($BE43:CB43)</f>
        <v>416.89195118475271</v>
      </c>
      <c r="CC120">
        <f>$AW43-SUM($BE43:CC43)</f>
        <v>416.89195118475271</v>
      </c>
      <c r="CD120">
        <f>$AW43-SUM($BE43:CD43)</f>
        <v>416.89195118475271</v>
      </c>
      <c r="CE120">
        <f>$AW43-SUM($BE43:CE43)</f>
        <v>416.89195118475271</v>
      </c>
      <c r="CF120">
        <f>$AW43-SUM($BE43:CF43)</f>
        <v>416.89195118475271</v>
      </c>
      <c r="CG120">
        <f>$AW43-SUM($BE43:CG43)</f>
        <v>416.89195118475271</v>
      </c>
      <c r="CH120">
        <f>$AW43-SUM($BE43:CH43)</f>
        <v>416.89195118475271</v>
      </c>
      <c r="CI120">
        <f>$AW43-SUM($BE43:CI43)</f>
        <v>416.89195118475271</v>
      </c>
      <c r="CJ120">
        <f>$AW43-SUM($BE43:CJ43)</f>
        <v>416.89195118475271</v>
      </c>
      <c r="CK120">
        <f>$AW43-SUM($BE43:CK43)</f>
        <v>416.89195118475271</v>
      </c>
      <c r="CL120">
        <f>$AW43-SUM($BE43:CL43)</f>
        <v>411.82138804663992</v>
      </c>
      <c r="CM120">
        <f>$AW43-SUM($BE43:CM43)</f>
        <v>390.44465716217195</v>
      </c>
      <c r="CN120">
        <f>$AW43-SUM($BE43:CN43)</f>
        <v>360.53202304723789</v>
      </c>
      <c r="CO120">
        <f>$AW43-SUM($BE43:CO43)</f>
        <v>328.70489203260092</v>
      </c>
      <c r="CP120">
        <f>$AW43-SUM($BE43:CP43)</f>
        <v>298.01027733963861</v>
      </c>
      <c r="CQ120">
        <f>$AW43-SUM($BE43:CQ43)</f>
        <v>269.65641361478032</v>
      </c>
      <c r="CR120">
        <f>$AW43-SUM($BE43:CR43)</f>
        <v>244.00122999979683</v>
      </c>
      <c r="CS120">
        <f>$AW43-SUM($BE43:CS43)</f>
        <v>221.02206387392459</v>
      </c>
      <c r="CT120">
        <f>$AW43-SUM($BE43:CT43)</f>
        <v>200.53580296254597</v>
      </c>
      <c r="CU120">
        <f>$AW43-SUM($BE43:CU43)</f>
        <v>182.30242809154089</v>
      </c>
      <c r="CV120">
        <f>$AW43-SUM($BE43:CV43)</f>
        <v>166.07329125939808</v>
      </c>
      <c r="CW120">
        <f>$AW43-SUM($BE43:CW43)</f>
        <v>151.61273367830648</v>
      </c>
      <c r="CX120">
        <f>$AW43-SUM($BE43:CX43)</f>
        <v>138.70671871658743</v>
      </c>
      <c r="CY120">
        <f>$AW43-SUM($BE43:CY43)</f>
        <v>127.16517322789821</v>
      </c>
      <c r="CZ120">
        <f>$AW43-SUM($BE43:CZ43)</f>
        <v>116.82137115564007</v>
      </c>
      <c r="DA120">
        <f>$AW43-SUM($BE43:DA43)</f>
        <v>107.53003403242911</v>
      </c>
      <c r="DB120">
        <f>$AW43-SUM($BE43:DB43)</f>
        <v>99.164986132186868</v>
      </c>
      <c r="DC120">
        <f>$AW43-SUM($BE43:DC43)</f>
        <v>91.616773726751035</v>
      </c>
      <c r="DD120">
        <f>$AW43-SUM($BE43:DD43)</f>
        <v>84.790437174458702</v>
      </c>
      <c r="DE120">
        <f>$AW43-SUM($BE43:DE43)</f>
        <v>78.603511190241875</v>
      </c>
      <c r="DF120">
        <f>$AW43-SUM($BE43:DF43)</f>
        <v>72.984271461372828</v>
      </c>
      <c r="DG120">
        <f>$AW43-SUM($BE43:DG43)</f>
        <v>67.870218171356726</v>
      </c>
      <c r="DH120">
        <f>$AW43-SUM($BE43:DH43)</f>
        <v>63.206774927890763</v>
      </c>
      <c r="DI120">
        <f>$AW43-SUM($BE43:DI43)</f>
        <v>58.946177565293169</v>
      </c>
      <c r="DJ120">
        <f>$AW43-SUM($BE43:DJ43)</f>
        <v>55.046527290221434</v>
      </c>
      <c r="DK120">
        <f>$AW43-SUM($BE43:DK43)</f>
        <v>51.470984512656059</v>
      </c>
      <c r="DL120">
        <f>$AW43-SUM($BE43:DL43)</f>
        <v>48.187082315273187</v>
      </c>
      <c r="DM120">
        <f>$AW43-SUM($BE43:DM43)</f>
        <v>45.166141277868633</v>
      </c>
      <c r="DN120">
        <f>$AW43-SUM($BE43:DN43)</f>
        <v>42.38277000343237</v>
      </c>
      <c r="DO120">
        <f>$AW43-SUM($BE43:DO43)</f>
        <v>39.814438064217143</v>
      </c>
      <c r="DP120">
        <f>$AW43-SUM($BE43:DP43)</f>
        <v>37.441110160237372</v>
      </c>
      <c r="DQ120">
        <f>$AW43-SUM($BE43:DQ43)</f>
        <v>35.244932062750081</v>
      </c>
      <c r="DR120">
        <f>$AW43-SUM($BE43:DR43)</f>
        <v>33.209960425187262</v>
      </c>
      <c r="DS120">
        <f>$AW43-SUM($BE43:DS43)</f>
        <v>31.321929815270551</v>
      </c>
      <c r="DT120">
        <f>$AW43-SUM($BE43:DT43)</f>
        <v>29.56805138746887</v>
      </c>
      <c r="DU120">
        <f>$AW43-SUM($BE43:DU43)</f>
        <v>27.936838505527248</v>
      </c>
      <c r="DV120">
        <f>$AW43-SUM($BE43:DV43)</f>
        <v>26.417955368233208</v>
      </c>
      <c r="DW120" s="4">
        <f>$AW43-SUM($BE43:DW43)</f>
        <v>25.002085311988196</v>
      </c>
    </row>
    <row r="121" spans="4:127" x14ac:dyDescent="0.25">
      <c r="D121"/>
      <c r="BD121">
        <v>2024</v>
      </c>
      <c r="BE121">
        <f>$AW44-SUM($BE44:BE44)</f>
        <v>410.88550654734343</v>
      </c>
      <c r="BF121">
        <f>$AW44-SUM($BE44:BF44)</f>
        <v>410.88550654734343</v>
      </c>
      <c r="BG121">
        <f>$AW44-SUM($BE44:BG44)</f>
        <v>410.88550654734343</v>
      </c>
      <c r="BH121">
        <f>$AW44-SUM($BE44:BH44)</f>
        <v>410.88550654734343</v>
      </c>
      <c r="BI121">
        <f>$AW44-SUM($BE44:BI44)</f>
        <v>410.88550654734343</v>
      </c>
      <c r="BJ121">
        <f>$AW44-SUM($BE44:BJ44)</f>
        <v>410.88550654734343</v>
      </c>
      <c r="BK121">
        <f>$AW44-SUM($BE44:BK44)</f>
        <v>410.88550654734343</v>
      </c>
      <c r="BL121">
        <f>$AW44-SUM($BE44:BL44)</f>
        <v>410.88550654734343</v>
      </c>
      <c r="BM121">
        <f>$AW44-SUM($BE44:BM44)</f>
        <v>410.88550654734343</v>
      </c>
      <c r="BN121">
        <f>$AW44-SUM($BE44:BN44)</f>
        <v>410.88550654734343</v>
      </c>
      <c r="BO121">
        <f>$AW44-SUM($BE44:BO44)</f>
        <v>410.88550654734343</v>
      </c>
      <c r="BP121">
        <f>$AW44-SUM($BE44:BP44)</f>
        <v>410.88550654734343</v>
      </c>
      <c r="BQ121">
        <f>$AW44-SUM($BE44:BQ44)</f>
        <v>410.88550654734343</v>
      </c>
      <c r="BR121">
        <f>$AW44-SUM($BE44:BR44)</f>
        <v>410.88550654734343</v>
      </c>
      <c r="BS121">
        <f>$AW44-SUM($BE44:BS44)</f>
        <v>410.88550654734343</v>
      </c>
      <c r="BT121">
        <f>$AW44-SUM($BE44:BT44)</f>
        <v>410.88550654734343</v>
      </c>
      <c r="BU121">
        <f>$AW44-SUM($BE44:BU44)</f>
        <v>410.88550654734343</v>
      </c>
      <c r="BV121">
        <f>$AW44-SUM($BE44:BV44)</f>
        <v>410.88550654734343</v>
      </c>
      <c r="BW121">
        <f>$AW44-SUM($BE44:BW44)</f>
        <v>410.88550654734343</v>
      </c>
      <c r="BX121">
        <f>$AW44-SUM($BE44:BX44)</f>
        <v>410.88550654734343</v>
      </c>
      <c r="BY121">
        <f>$AW44-SUM($BE44:BY44)</f>
        <v>410.88550654734343</v>
      </c>
      <c r="BZ121">
        <f>$AW44-SUM($BE44:BZ44)</f>
        <v>410.88550654734343</v>
      </c>
      <c r="CA121">
        <f>$AW44-SUM($BE44:CA44)</f>
        <v>410.88550654734343</v>
      </c>
      <c r="CB121">
        <f>$AW44-SUM($BE44:CB44)</f>
        <v>410.88550654734343</v>
      </c>
      <c r="CC121">
        <f>$AW44-SUM($BE44:CC44)</f>
        <v>410.88550654734343</v>
      </c>
      <c r="CD121">
        <f>$AW44-SUM($BE44:CD44)</f>
        <v>410.88550654734343</v>
      </c>
      <c r="CE121">
        <f>$AW44-SUM($BE44:CE44)</f>
        <v>410.88550654734343</v>
      </c>
      <c r="CF121">
        <f>$AW44-SUM($BE44:CF44)</f>
        <v>410.88550654734343</v>
      </c>
      <c r="CG121">
        <f>$AW44-SUM($BE44:CG44)</f>
        <v>410.88550654734343</v>
      </c>
      <c r="CH121">
        <f>$AW44-SUM($BE44:CH44)</f>
        <v>410.88550654734343</v>
      </c>
      <c r="CI121">
        <f>$AW44-SUM($BE44:CI44)</f>
        <v>410.88550654734343</v>
      </c>
      <c r="CJ121">
        <f>$AW44-SUM($BE44:CJ44)</f>
        <v>410.88550654734343</v>
      </c>
      <c r="CK121">
        <f>$AW44-SUM($BE44:CK44)</f>
        <v>410.88550654734343</v>
      </c>
      <c r="CL121">
        <f>$AW44-SUM($BE44:CL44)</f>
        <v>410.88550654734343</v>
      </c>
      <c r="CM121">
        <f>$AW44-SUM($BE44:CM44)</f>
        <v>405.88799844587265</v>
      </c>
      <c r="CN121">
        <f>$AW44-SUM($BE44:CN44)</f>
        <v>384.81925659842369</v>
      </c>
      <c r="CO121">
        <f>$AW44-SUM($BE44:CO44)</f>
        <v>355.33759405840209</v>
      </c>
      <c r="CP121">
        <f>$AW44-SUM($BE44:CP44)</f>
        <v>323.96901807190545</v>
      </c>
      <c r="CQ121">
        <f>$AW44-SUM($BE44:CQ44)</f>
        <v>293.7166414775582</v>
      </c>
      <c r="CR121">
        <f>$AW44-SUM($BE44:CR44)</f>
        <v>265.77129106708753</v>
      </c>
      <c r="CS121">
        <f>$AW44-SUM($BE44:CS44)</f>
        <v>240.48573905474845</v>
      </c>
      <c r="CT121">
        <f>$AW44-SUM($BE44:CT44)</f>
        <v>217.8376493355006</v>
      </c>
      <c r="CU121">
        <f>$AW44-SUM($BE44:CU44)</f>
        <v>197.64654785726054</v>
      </c>
      <c r="CV121">
        <f>$AW44-SUM($BE44:CV44)</f>
        <v>179.67587356467774</v>
      </c>
      <c r="CW121">
        <f>$AW44-SUM($BE44:CW44)</f>
        <v>163.68056089636968</v>
      </c>
      <c r="CX121">
        <f>$AW44-SUM($BE44:CX44)</f>
        <v>149.42834636025663</v>
      </c>
      <c r="CY121">
        <f>$AW44-SUM($BE44:CY44)</f>
        <v>136.7082770953466</v>
      </c>
      <c r="CZ121">
        <f>$AW44-SUM($BE44:CZ44)</f>
        <v>125.33301846782359</v>
      </c>
      <c r="DA121">
        <f>$AW44-SUM($BE44:DA44)</f>
        <v>115.138246556284</v>
      </c>
      <c r="DB121">
        <f>$AW44-SUM($BE44:DB44)</f>
        <v>105.98077601859831</v>
      </c>
      <c r="DC121">
        <f>$AW44-SUM($BE44:DC44)</f>
        <v>97.736249027813074</v>
      </c>
      <c r="DD121">
        <f>$AW44-SUM($BE44:DD44)</f>
        <v>90.296788829743718</v>
      </c>
      <c r="DE121">
        <f>$AW44-SUM($BE44:DE44)</f>
        <v>83.568803930586284</v>
      </c>
      <c r="DF121">
        <f>$AW44-SUM($BE44:DF44)</f>
        <v>77.471017178475847</v>
      </c>
      <c r="DG121">
        <f>$AW44-SUM($BE44:DG44)</f>
        <v>71.932737641426002</v>
      </c>
      <c r="DH121">
        <f>$AW44-SUM($BE44:DH44)</f>
        <v>66.892365980119564</v>
      </c>
      <c r="DI121">
        <f>$AW44-SUM($BE44:DI44)</f>
        <v>62.296112121293845</v>
      </c>
      <c r="DJ121">
        <f>$AW44-SUM($BE44:DJ44)</f>
        <v>58.096900069945434</v>
      </c>
      <c r="DK121">
        <f>$AW44-SUM($BE44:DK44)</f>
        <v>54.253434697019031</v>
      </c>
      <c r="DL121">
        <f>$AW44-SUM($BE44:DL44)</f>
        <v>50.729407185414289</v>
      </c>
      <c r="DM121">
        <f>$AW44-SUM($BE44:DM44)</f>
        <v>47.492818390670152</v>
      </c>
      <c r="DN121">
        <f>$AW44-SUM($BE44:DN44)</f>
        <v>44.515402096409446</v>
      </c>
      <c r="DO121">
        <f>$AW44-SUM($BE44:DO44)</f>
        <v>41.772132736672518</v>
      </c>
      <c r="DP121">
        <f>$AW44-SUM($BE44:DP44)</f>
        <v>39.240804494841143</v>
      </c>
      <c r="DQ121">
        <f>$AW44-SUM($BE44:DQ44)</f>
        <v>36.901670733063384</v>
      </c>
      <c r="DR121">
        <f>$AW44-SUM($BE44:DR44)</f>
        <v>34.737134460559673</v>
      </c>
      <c r="DS121">
        <f>$AW44-SUM($BE44:DS44)</f>
        <v>32.731482037352009</v>
      </c>
      <c r="DT121">
        <f>$AW44-SUM($BE44:DT44)</f>
        <v>30.870653562904636</v>
      </c>
      <c r="DU121">
        <f>$AW44-SUM($BE44:DU44)</f>
        <v>29.14204444924394</v>
      </c>
      <c r="DV121">
        <f>$AW44-SUM($BE44:DV44)</f>
        <v>27.534333555861622</v>
      </c>
      <c r="DW121" s="4">
        <f>$AW44-SUM($BE44:DW44)</f>
        <v>26.037333996432096</v>
      </c>
    </row>
    <row r="122" spans="4:127" x14ac:dyDescent="0.25">
      <c r="D122"/>
      <c r="BD122">
        <v>2025</v>
      </c>
      <c r="BE122">
        <f>$AW45-SUM($BE45:BE45)</f>
        <v>397.54487824026631</v>
      </c>
      <c r="BF122">
        <f>$AW45-SUM($BE45:BF45)</f>
        <v>397.54487824026631</v>
      </c>
      <c r="BG122">
        <f>$AW45-SUM($BE45:BG45)</f>
        <v>397.54487824026631</v>
      </c>
      <c r="BH122">
        <f>$AW45-SUM($BE45:BH45)</f>
        <v>397.54487824026631</v>
      </c>
      <c r="BI122">
        <f>$AW45-SUM($BE45:BI45)</f>
        <v>397.54487824026631</v>
      </c>
      <c r="BJ122">
        <f>$AW45-SUM($BE45:BJ45)</f>
        <v>397.54487824026631</v>
      </c>
      <c r="BK122">
        <f>$AW45-SUM($BE45:BK45)</f>
        <v>397.54487824026631</v>
      </c>
      <c r="BL122">
        <f>$AW45-SUM($BE45:BL45)</f>
        <v>397.54487824026631</v>
      </c>
      <c r="BM122">
        <f>$AW45-SUM($BE45:BM45)</f>
        <v>397.54487824026631</v>
      </c>
      <c r="BN122">
        <f>$AW45-SUM($BE45:BN45)</f>
        <v>397.54487824026631</v>
      </c>
      <c r="BO122">
        <f>$AW45-SUM($BE45:BO45)</f>
        <v>397.54487824026631</v>
      </c>
      <c r="BP122">
        <f>$AW45-SUM($BE45:BP45)</f>
        <v>397.54487824026631</v>
      </c>
      <c r="BQ122">
        <f>$AW45-SUM($BE45:BQ45)</f>
        <v>397.54487824026631</v>
      </c>
      <c r="BR122">
        <f>$AW45-SUM($BE45:BR45)</f>
        <v>397.54487824026631</v>
      </c>
      <c r="BS122">
        <f>$AW45-SUM($BE45:BS45)</f>
        <v>397.54487824026631</v>
      </c>
      <c r="BT122">
        <f>$AW45-SUM($BE45:BT45)</f>
        <v>397.54487824026631</v>
      </c>
      <c r="BU122">
        <f>$AW45-SUM($BE45:BU45)</f>
        <v>397.54487824026631</v>
      </c>
      <c r="BV122">
        <f>$AW45-SUM($BE45:BV45)</f>
        <v>397.54487824026631</v>
      </c>
      <c r="BW122">
        <f>$AW45-SUM($BE45:BW45)</f>
        <v>397.54487824026631</v>
      </c>
      <c r="BX122">
        <f>$AW45-SUM($BE45:BX45)</f>
        <v>397.54487824026631</v>
      </c>
      <c r="BY122">
        <f>$AW45-SUM($BE45:BY45)</f>
        <v>397.54487824026631</v>
      </c>
      <c r="BZ122">
        <f>$AW45-SUM($BE45:BZ45)</f>
        <v>397.54487824026631</v>
      </c>
      <c r="CA122">
        <f>$AW45-SUM($BE45:CA45)</f>
        <v>397.54487824026631</v>
      </c>
      <c r="CB122">
        <f>$AW45-SUM($BE45:CB45)</f>
        <v>397.54487824026631</v>
      </c>
      <c r="CC122">
        <f>$AW45-SUM($BE45:CC45)</f>
        <v>397.54487824026631</v>
      </c>
      <c r="CD122">
        <f>$AW45-SUM($BE45:CD45)</f>
        <v>397.54487824026631</v>
      </c>
      <c r="CE122">
        <f>$AW45-SUM($BE45:CE45)</f>
        <v>397.54487824026631</v>
      </c>
      <c r="CF122">
        <f>$AW45-SUM($BE45:CF45)</f>
        <v>397.54487824026631</v>
      </c>
      <c r="CG122">
        <f>$AW45-SUM($BE45:CG45)</f>
        <v>397.54487824026631</v>
      </c>
      <c r="CH122">
        <f>$AW45-SUM($BE45:CH45)</f>
        <v>397.54487824026631</v>
      </c>
      <c r="CI122">
        <f>$AW45-SUM($BE45:CI45)</f>
        <v>397.54487824026631</v>
      </c>
      <c r="CJ122">
        <f>$AW45-SUM($BE45:CJ45)</f>
        <v>397.54487824026631</v>
      </c>
      <c r="CK122">
        <f>$AW45-SUM($BE45:CK45)</f>
        <v>397.54487824026631</v>
      </c>
      <c r="CL122">
        <f>$AW45-SUM($BE45:CL45)</f>
        <v>397.54487824026631</v>
      </c>
      <c r="CM122">
        <f>$AW45-SUM($BE45:CM45)</f>
        <v>397.54487824026631</v>
      </c>
      <c r="CN122">
        <f>$AW45-SUM($BE45:CN45)</f>
        <v>392.70962920362251</v>
      </c>
      <c r="CO122">
        <f>$AW45-SUM($BE45:CO45)</f>
        <v>372.32494714754074</v>
      </c>
      <c r="CP122">
        <f>$AW45-SUM($BE45:CP45)</f>
        <v>343.80049506044077</v>
      </c>
      <c r="CQ122">
        <f>$AW45-SUM($BE45:CQ45)</f>
        <v>313.450393821994</v>
      </c>
      <c r="CR122">
        <f>$AW45-SUM($BE45:CR45)</f>
        <v>284.18025122013341</v>
      </c>
      <c r="CS122">
        <f>$AW45-SUM($BE45:CS45)</f>
        <v>257.14223028903473</v>
      </c>
      <c r="CT122">
        <f>$AW45-SUM($BE45:CT45)</f>
        <v>232.67764943669206</v>
      </c>
      <c r="CU122">
        <f>$AW45-SUM($BE45:CU45)</f>
        <v>210.76489776659736</v>
      </c>
      <c r="CV122">
        <f>$AW45-SUM($BE45:CV45)</f>
        <v>191.2293608571714</v>
      </c>
      <c r="CW122">
        <f>$AW45-SUM($BE45:CW45)</f>
        <v>173.84215831607338</v>
      </c>
      <c r="CX122">
        <f>$AW45-SUM($BE45:CX45)</f>
        <v>158.36618136918432</v>
      </c>
      <c r="CY122">
        <f>$AW45-SUM($BE45:CY45)</f>
        <v>144.57670765417421</v>
      </c>
      <c r="CZ122">
        <f>$AW45-SUM($BE45:CZ45)</f>
        <v>132.2696335263509</v>
      </c>
      <c r="DA122">
        <f>$AW45-SUM($BE45:DA45)</f>
        <v>121.26370673173147</v>
      </c>
      <c r="DB122">
        <f>$AW45-SUM($BE45:DB45)</f>
        <v>111.39993861706495</v>
      </c>
      <c r="DC122">
        <f>$AW45-SUM($BE45:DC45)</f>
        <v>102.53979278110177</v>
      </c>
      <c r="DD122">
        <f>$AW45-SUM($BE45:DD45)</f>
        <v>94.562949046111896</v>
      </c>
      <c r="DE122">
        <f>$AW45-SUM($BE45:DE45)</f>
        <v>87.365033199756738</v>
      </c>
      <c r="DF122">
        <f>$AW45-SUM($BE45:DF45)</f>
        <v>80.855492476324798</v>
      </c>
      <c r="DG122">
        <f>$AW45-SUM($BE45:DG45)</f>
        <v>74.955688630059115</v>
      </c>
      <c r="DH122">
        <f>$AW45-SUM($BE45:DH45)</f>
        <v>69.597225921753875</v>
      </c>
      <c r="DI122">
        <f>$AW45-SUM($BE45:DI45)</f>
        <v>64.720505019093139</v>
      </c>
      <c r="DJ122">
        <f>$AW45-SUM($BE45:DJ45)</f>
        <v>60.273482304609331</v>
      </c>
      <c r="DK122">
        <f>$AW45-SUM($BE45:DK45)</f>
        <v>56.210610246438989</v>
      </c>
      <c r="DL122">
        <f>$AW45-SUM($BE45:DL45)</f>
        <v>52.491934485543879</v>
      </c>
      <c r="DM122">
        <f>$AW45-SUM($BE45:DM45)</f>
        <v>49.082325079292332</v>
      </c>
      <c r="DN122">
        <f>$AW45-SUM($BE45:DN45)</f>
        <v>45.950821831264989</v>
      </c>
      <c r="DO122">
        <f>$AW45-SUM($BE45:DO45)</f>
        <v>43.070076272438428</v>
      </c>
      <c r="DP122">
        <f>$AW45-SUM($BE45:DP45)</f>
        <v>40.415875366787304</v>
      </c>
      <c r="DQ122">
        <f>$AW45-SUM($BE45:DQ45)</f>
        <v>37.966734276022009</v>
      </c>
      <c r="DR122">
        <f>$AW45-SUM($BE45:DR45)</f>
        <v>35.703547496016938</v>
      </c>
      <c r="DS122">
        <f>$AW45-SUM($BE45:DS45)</f>
        <v>33.609289374989771</v>
      </c>
      <c r="DT122">
        <f>$AW45-SUM($BE45:DT45)</f>
        <v>31.668756463336649</v>
      </c>
      <c r="DU122">
        <f>$AW45-SUM($BE45:DU45)</f>
        <v>29.868345357292981</v>
      </c>
      <c r="DV122">
        <f>$AW45-SUM($BE45:DV45)</f>
        <v>28.195860714576384</v>
      </c>
      <c r="DW122" s="4">
        <f>$AW45-SUM($BE45:DW45)</f>
        <v>26.64034896940467</v>
      </c>
    </row>
    <row r="123" spans="4:127" x14ac:dyDescent="0.25">
      <c r="D123"/>
      <c r="BD123">
        <v>2026</v>
      </c>
      <c r="BE123">
        <f>$AW46-SUM($BE46:BE46)</f>
        <v>440.45285620991996</v>
      </c>
      <c r="BF123">
        <f>$AW46-SUM($BE46:BF46)</f>
        <v>440.45285620991996</v>
      </c>
      <c r="BG123">
        <f>$AW46-SUM($BE46:BG46)</f>
        <v>440.45285620991996</v>
      </c>
      <c r="BH123">
        <f>$AW46-SUM($BE46:BH46)</f>
        <v>440.45285620991996</v>
      </c>
      <c r="BI123">
        <f>$AW46-SUM($BE46:BI46)</f>
        <v>440.45285620991996</v>
      </c>
      <c r="BJ123">
        <f>$AW46-SUM($BE46:BJ46)</f>
        <v>440.45285620991996</v>
      </c>
      <c r="BK123">
        <f>$AW46-SUM($BE46:BK46)</f>
        <v>440.45285620991996</v>
      </c>
      <c r="BL123">
        <f>$AW46-SUM($BE46:BL46)</f>
        <v>440.45285620991996</v>
      </c>
      <c r="BM123">
        <f>$AW46-SUM($BE46:BM46)</f>
        <v>440.45285620991996</v>
      </c>
      <c r="BN123">
        <f>$AW46-SUM($BE46:BN46)</f>
        <v>440.45285620991996</v>
      </c>
      <c r="BO123">
        <f>$AW46-SUM($BE46:BO46)</f>
        <v>440.45285620991996</v>
      </c>
      <c r="BP123">
        <f>$AW46-SUM($BE46:BP46)</f>
        <v>440.45285620991996</v>
      </c>
      <c r="BQ123">
        <f>$AW46-SUM($BE46:BQ46)</f>
        <v>440.45285620991996</v>
      </c>
      <c r="BR123">
        <f>$AW46-SUM($BE46:BR46)</f>
        <v>440.45285620991996</v>
      </c>
      <c r="BS123">
        <f>$AW46-SUM($BE46:BS46)</f>
        <v>440.45285620991996</v>
      </c>
      <c r="BT123">
        <f>$AW46-SUM($BE46:BT46)</f>
        <v>440.45285620991996</v>
      </c>
      <c r="BU123">
        <f>$AW46-SUM($BE46:BU46)</f>
        <v>440.45285620991996</v>
      </c>
      <c r="BV123">
        <f>$AW46-SUM($BE46:BV46)</f>
        <v>440.45285620991996</v>
      </c>
      <c r="BW123">
        <f>$AW46-SUM($BE46:BW46)</f>
        <v>440.45285620991996</v>
      </c>
      <c r="BX123">
        <f>$AW46-SUM($BE46:BX46)</f>
        <v>440.45285620991996</v>
      </c>
      <c r="BY123">
        <f>$AW46-SUM($BE46:BY46)</f>
        <v>440.45285620991996</v>
      </c>
      <c r="BZ123">
        <f>$AW46-SUM($BE46:BZ46)</f>
        <v>440.45285620991996</v>
      </c>
      <c r="CA123">
        <f>$AW46-SUM($BE46:CA46)</f>
        <v>440.45285620991996</v>
      </c>
      <c r="CB123">
        <f>$AW46-SUM($BE46:CB46)</f>
        <v>440.45285620991996</v>
      </c>
      <c r="CC123">
        <f>$AW46-SUM($BE46:CC46)</f>
        <v>440.45285620991996</v>
      </c>
      <c r="CD123">
        <f>$AW46-SUM($BE46:CD46)</f>
        <v>440.45285620991996</v>
      </c>
      <c r="CE123">
        <f>$AW46-SUM($BE46:CE46)</f>
        <v>440.45285620991996</v>
      </c>
      <c r="CF123">
        <f>$AW46-SUM($BE46:CF46)</f>
        <v>440.45285620991996</v>
      </c>
      <c r="CG123">
        <f>$AW46-SUM($BE46:CG46)</f>
        <v>440.45285620991996</v>
      </c>
      <c r="CH123">
        <f>$AW46-SUM($BE46:CH46)</f>
        <v>440.45285620991996</v>
      </c>
      <c r="CI123">
        <f>$AW46-SUM($BE46:CI46)</f>
        <v>440.45285620991996</v>
      </c>
      <c r="CJ123">
        <f>$AW46-SUM($BE46:CJ46)</f>
        <v>440.45285620991996</v>
      </c>
      <c r="CK123">
        <f>$AW46-SUM($BE46:CK46)</f>
        <v>440.45285620991996</v>
      </c>
      <c r="CL123">
        <f>$AW46-SUM($BE46:CL46)</f>
        <v>440.45285620991996</v>
      </c>
      <c r="CM123">
        <f>$AW46-SUM($BE46:CM46)</f>
        <v>440.45285620991996</v>
      </c>
      <c r="CN123">
        <f>$AW46-SUM($BE46:CN46)</f>
        <v>440.45285620991996</v>
      </c>
      <c r="CO123">
        <f>$AW46-SUM($BE46:CO46)</f>
        <v>435.09572707747299</v>
      </c>
      <c r="CP123">
        <f>$AW46-SUM($BE46:CP46)</f>
        <v>412.51087709958955</v>
      </c>
      <c r="CQ123">
        <f>$AW46-SUM($BE46:CQ46)</f>
        <v>380.90771207027427</v>
      </c>
      <c r="CR123">
        <f>$AW46-SUM($BE46:CR46)</f>
        <v>347.28185117148303</v>
      </c>
      <c r="CS123">
        <f>$AW46-SUM($BE46:CS46)</f>
        <v>314.8525114508252</v>
      </c>
      <c r="CT123">
        <f>$AW46-SUM($BE46:CT46)</f>
        <v>284.8962116788822</v>
      </c>
      <c r="CU123">
        <f>$AW46-SUM($BE46:CU46)</f>
        <v>257.79110958301163</v>
      </c>
      <c r="CV123">
        <f>$AW46-SUM($BE46:CV46)</f>
        <v>233.51326175049911</v>
      </c>
      <c r="CW123">
        <f>$AW46-SUM($BE46:CW46)</f>
        <v>211.86920720390617</v>
      </c>
      <c r="CX123">
        <f>$AW46-SUM($BE46:CX46)</f>
        <v>192.60536193786669</v>
      </c>
      <c r="CY123">
        <f>$AW46-SUM($BE46:CY46)</f>
        <v>175.45902545613626</v>
      </c>
      <c r="CZ123">
        <f>$AW46-SUM($BE46:CZ46)</f>
        <v>160.18122056957179</v>
      </c>
      <c r="DA123">
        <f>$AW46-SUM($BE46:DA46)</f>
        <v>146.54581423461491</v>
      </c>
      <c r="DB123">
        <f>$AW46-SUM($BE46:DB46)</f>
        <v>134.3519912041553</v>
      </c>
      <c r="DC123">
        <f>$AW46-SUM($BE46:DC46)</f>
        <v>123.42360279596284</v>
      </c>
      <c r="DD123">
        <f>$AW46-SUM($BE46:DD46)</f>
        <v>113.60716004071782</v>
      </c>
      <c r="DE123">
        <f>$AW46-SUM($BE46:DE46)</f>
        <v>104.76935631357969</v>
      </c>
      <c r="DF123">
        <f>$AW46-SUM($BE46:DF46)</f>
        <v>96.794552041620989</v>
      </c>
      <c r="DG123">
        <f>$AW46-SUM($BE46:DG46)</f>
        <v>89.582420880626501</v>
      </c>
      <c r="DH123">
        <f>$AW46-SUM($BE46:DH46)</f>
        <v>83.045836969223444</v>
      </c>
      <c r="DI123">
        <f>$AW46-SUM($BE46:DI46)</f>
        <v>77.10902245103722</v>
      </c>
      <c r="DJ123">
        <f>$AW46-SUM($BE46:DJ46)</f>
        <v>71.705945294003982</v>
      </c>
      <c r="DK123">
        <f>$AW46-SUM($BE46:DK46)</f>
        <v>66.778944687443584</v>
      </c>
      <c r="DL123">
        <f>$AW46-SUM($BE46:DL46)</f>
        <v>62.277557044473951</v>
      </c>
      <c r="DM123">
        <f>$AW46-SUM($BE46:DM46)</f>
        <v>58.157515635677498</v>
      </c>
      <c r="DN123">
        <f>$AW46-SUM($BE46:DN46)</f>
        <v>54.379898858947058</v>
      </c>
      <c r="DO123">
        <f>$AW46-SUM($BE46:DO46)</f>
        <v>50.910404909157876</v>
      </c>
      <c r="DP123">
        <f>$AW46-SUM($BE46:DP46)</f>
        <v>47.71873353103399</v>
      </c>
      <c r="DQ123">
        <f>$AW46-SUM($BE46:DQ46)</f>
        <v>44.778058317146701</v>
      </c>
      <c r="DR123">
        <f>$AW46-SUM($BE46:DR46)</f>
        <v>42.06457551876764</v>
      </c>
      <c r="DS123">
        <f>$AW46-SUM($BE46:DS46)</f>
        <v>39.557117528610092</v>
      </c>
      <c r="DT123">
        <f>$AW46-SUM($BE46:DT46)</f>
        <v>37.236821075212561</v>
      </c>
      <c r="DU123">
        <f>$AW46-SUM($BE46:DU46)</f>
        <v>35.086841763970085</v>
      </c>
      <c r="DV123">
        <f>$AW46-SUM($BE46:DV46)</f>
        <v>33.092107942925281</v>
      </c>
      <c r="DW123" s="4">
        <f>$AW46-SUM($BE46:DW46)</f>
        <v>31.23910799707636</v>
      </c>
    </row>
    <row r="124" spans="4:127" x14ac:dyDescent="0.25">
      <c r="D124"/>
      <c r="BD124">
        <v>2027</v>
      </c>
      <c r="BE124">
        <f>$AW47-SUM($BE47:BE47)</f>
        <v>443.16019960512</v>
      </c>
      <c r="BF124">
        <f>$AW47-SUM($BE47:BF47)</f>
        <v>443.16019960512</v>
      </c>
      <c r="BG124">
        <f>$AW47-SUM($BE47:BG47)</f>
        <v>443.16019960512</v>
      </c>
      <c r="BH124">
        <f>$AW47-SUM($BE47:BH47)</f>
        <v>443.16019960512</v>
      </c>
      <c r="BI124">
        <f>$AW47-SUM($BE47:BI47)</f>
        <v>443.16019960512</v>
      </c>
      <c r="BJ124">
        <f>$AW47-SUM($BE47:BJ47)</f>
        <v>443.16019960512</v>
      </c>
      <c r="BK124">
        <f>$AW47-SUM($BE47:BK47)</f>
        <v>443.16019960512</v>
      </c>
      <c r="BL124">
        <f>$AW47-SUM($BE47:BL47)</f>
        <v>443.16019960512</v>
      </c>
      <c r="BM124">
        <f>$AW47-SUM($BE47:BM47)</f>
        <v>443.16019960512</v>
      </c>
      <c r="BN124">
        <f>$AW47-SUM($BE47:BN47)</f>
        <v>443.16019960512</v>
      </c>
      <c r="BO124">
        <f>$AW47-SUM($BE47:BO47)</f>
        <v>443.16019960512</v>
      </c>
      <c r="BP124">
        <f>$AW47-SUM($BE47:BP47)</f>
        <v>443.16019960512</v>
      </c>
      <c r="BQ124">
        <f>$AW47-SUM($BE47:BQ47)</f>
        <v>443.16019960512</v>
      </c>
      <c r="BR124">
        <f>$AW47-SUM($BE47:BR47)</f>
        <v>443.16019960512</v>
      </c>
      <c r="BS124">
        <f>$AW47-SUM($BE47:BS47)</f>
        <v>443.16019960512</v>
      </c>
      <c r="BT124">
        <f>$AW47-SUM($BE47:BT47)</f>
        <v>443.16019960512</v>
      </c>
      <c r="BU124">
        <f>$AW47-SUM($BE47:BU47)</f>
        <v>443.16019960512</v>
      </c>
      <c r="BV124">
        <f>$AW47-SUM($BE47:BV47)</f>
        <v>443.16019960512</v>
      </c>
      <c r="BW124">
        <f>$AW47-SUM($BE47:BW47)</f>
        <v>443.16019960512</v>
      </c>
      <c r="BX124">
        <f>$AW47-SUM($BE47:BX47)</f>
        <v>443.16019960512</v>
      </c>
      <c r="BY124">
        <f>$AW47-SUM($BE47:BY47)</f>
        <v>443.16019960512</v>
      </c>
      <c r="BZ124">
        <f>$AW47-SUM($BE47:BZ47)</f>
        <v>443.16019960512</v>
      </c>
      <c r="CA124">
        <f>$AW47-SUM($BE47:CA47)</f>
        <v>443.16019960512</v>
      </c>
      <c r="CB124">
        <f>$AW47-SUM($BE47:CB47)</f>
        <v>443.16019960512</v>
      </c>
      <c r="CC124">
        <f>$AW47-SUM($BE47:CC47)</f>
        <v>443.16019960512</v>
      </c>
      <c r="CD124">
        <f>$AW47-SUM($BE47:CD47)</f>
        <v>443.16019960512</v>
      </c>
      <c r="CE124">
        <f>$AW47-SUM($BE47:CE47)</f>
        <v>443.16019960512</v>
      </c>
      <c r="CF124">
        <f>$AW47-SUM($BE47:CF47)</f>
        <v>443.16019960512</v>
      </c>
      <c r="CG124">
        <f>$AW47-SUM($BE47:CG47)</f>
        <v>443.16019960512</v>
      </c>
      <c r="CH124">
        <f>$AW47-SUM($BE47:CH47)</f>
        <v>443.16019960512</v>
      </c>
      <c r="CI124">
        <f>$AW47-SUM($BE47:CI47)</f>
        <v>443.16019960512</v>
      </c>
      <c r="CJ124">
        <f>$AW47-SUM($BE47:CJ47)</f>
        <v>443.16019960512</v>
      </c>
      <c r="CK124">
        <f>$AW47-SUM($BE47:CK47)</f>
        <v>443.16019960512</v>
      </c>
      <c r="CL124">
        <f>$AW47-SUM($BE47:CL47)</f>
        <v>443.16019960512</v>
      </c>
      <c r="CM124">
        <f>$AW47-SUM($BE47:CM47)</f>
        <v>443.16019960512</v>
      </c>
      <c r="CN124">
        <f>$AW47-SUM($BE47:CN47)</f>
        <v>443.16019960512</v>
      </c>
      <c r="CO124">
        <f>$AW47-SUM($BE47:CO47)</f>
        <v>443.16019960512</v>
      </c>
      <c r="CP124">
        <f>$AW47-SUM($BE47:CP47)</f>
        <v>437.77014166322277</v>
      </c>
      <c r="CQ124">
        <f>$AW47-SUM($BE47:CQ47)</f>
        <v>415.04646878169115</v>
      </c>
      <c r="CR124">
        <f>$AW47-SUM($BE47:CR47)</f>
        <v>383.24904772950481</v>
      </c>
      <c r="CS124">
        <f>$AW47-SUM($BE47:CS47)</f>
        <v>349.41649784884237</v>
      </c>
      <c r="CT124">
        <f>$AW47-SUM($BE47:CT47)</f>
        <v>316.78782383515966</v>
      </c>
      <c r="CU124">
        <f>$AW47-SUM($BE47:CU47)</f>
        <v>286.64739087123309</v>
      </c>
      <c r="CV124">
        <f>$AW47-SUM($BE47:CV47)</f>
        <v>259.37568111667474</v>
      </c>
      <c r="CW124">
        <f>$AW47-SUM($BE47:CW47)</f>
        <v>234.94860398515252</v>
      </c>
      <c r="CX124">
        <f>$AW47-SUM($BE47:CX47)</f>
        <v>213.1715093474445</v>
      </c>
      <c r="CY124">
        <f>$AW47-SUM($BE47:CY47)</f>
        <v>193.78925448657131</v>
      </c>
      <c r="CZ124">
        <f>$AW47-SUM($BE47:CZ47)</f>
        <v>176.53752415809606</v>
      </c>
      <c r="DA124">
        <f>$AW47-SUM($BE47:DA47)</f>
        <v>161.16581077810343</v>
      </c>
      <c r="DB124">
        <f>$AW47-SUM($BE47:DB47)</f>
        <v>147.44659132498566</v>
      </c>
      <c r="DC124">
        <f>$AW47-SUM($BE47:DC47)</f>
        <v>135.17781619516217</v>
      </c>
      <c r="DD124">
        <f>$AW47-SUM($BE47:DD47)</f>
        <v>124.18225396856906</v>
      </c>
      <c r="DE124">
        <f>$AW47-SUM($BE47:DE47)</f>
        <v>114.30547222111846</v>
      </c>
      <c r="DF124">
        <f>$AW47-SUM($BE47:DF47)</f>
        <v>105.41334492856038</v>
      </c>
      <c r="DG124">
        <f>$AW47-SUM($BE47:DG47)</f>
        <v>97.389521713100009</v>
      </c>
      <c r="DH124">
        <f>$AW47-SUM($BE47:DH47)</f>
        <v>90.133059551888948</v>
      </c>
      <c r="DI124">
        <f>$AW47-SUM($BE47:DI47)</f>
        <v>83.556297044683447</v>
      </c>
      <c r="DJ124">
        <f>$AW47-SUM($BE47:DJ47)</f>
        <v>77.582990549324791</v>
      </c>
      <c r="DK124">
        <f>$AW47-SUM($BE47:DK47)</f>
        <v>72.146702152885098</v>
      </c>
      <c r="DL124">
        <f>$AW47-SUM($BE47:DL47)</f>
        <v>67.189416619431256</v>
      </c>
      <c r="DM124">
        <f>$AW47-SUM($BE47:DM47)</f>
        <v>62.660360176197059</v>
      </c>
      <c r="DN124">
        <f>$AW47-SUM($BE47:DN47)</f>
        <v>58.514993998270825</v>
      </c>
      <c r="DO124">
        <f>$AW47-SUM($BE47:DO47)</f>
        <v>54.714157243088891</v>
      </c>
      <c r="DP124">
        <f>$AW47-SUM($BE47:DP47)</f>
        <v>51.223337261700124</v>
      </c>
      <c r="DQ124">
        <f>$AW47-SUM($BE47:DQ47)</f>
        <v>48.012047551436069</v>
      </c>
      <c r="DR124">
        <f>$AW47-SUM($BE47:DR47)</f>
        <v>45.05329681026933</v>
      </c>
      <c r="DS124">
        <f>$AW47-SUM($BE47:DS47)</f>
        <v>42.323134974330173</v>
      </c>
      <c r="DT124">
        <f>$AW47-SUM($BE47:DT47)</f>
        <v>39.800264324831915</v>
      </c>
      <c r="DU124">
        <f>$AW47-SUM($BE47:DU47)</f>
        <v>37.465705642936086</v>
      </c>
      <c r="DV124">
        <f>$AW47-SUM($BE47:DV47)</f>
        <v>35.302510996145145</v>
      </c>
      <c r="DW124" s="4">
        <f>$AW47-SUM($BE47:DW47)</f>
        <v>33.295516091174022</v>
      </c>
    </row>
    <row r="125" spans="4:127" x14ac:dyDescent="0.25">
      <c r="D125"/>
      <c r="BD125">
        <v>2028</v>
      </c>
      <c r="BE125">
        <f>$AW48-SUM($BE48:BE48)</f>
        <v>445.82060370240004</v>
      </c>
      <c r="BF125">
        <f>$AW48-SUM($BE48:BF48)</f>
        <v>445.82060370240004</v>
      </c>
      <c r="BG125">
        <f>$AW48-SUM($BE48:BG48)</f>
        <v>445.82060370240004</v>
      </c>
      <c r="BH125">
        <f>$AW48-SUM($BE48:BH48)</f>
        <v>445.82060370240004</v>
      </c>
      <c r="BI125">
        <f>$AW48-SUM($BE48:BI48)</f>
        <v>445.82060370240004</v>
      </c>
      <c r="BJ125">
        <f>$AW48-SUM($BE48:BJ48)</f>
        <v>445.82060370240004</v>
      </c>
      <c r="BK125">
        <f>$AW48-SUM($BE48:BK48)</f>
        <v>445.82060370240004</v>
      </c>
      <c r="BL125">
        <f>$AW48-SUM($BE48:BL48)</f>
        <v>445.82060370240004</v>
      </c>
      <c r="BM125">
        <f>$AW48-SUM($BE48:BM48)</f>
        <v>445.82060370240004</v>
      </c>
      <c r="BN125">
        <f>$AW48-SUM($BE48:BN48)</f>
        <v>445.82060370240004</v>
      </c>
      <c r="BO125">
        <f>$AW48-SUM($BE48:BO48)</f>
        <v>445.82060370240004</v>
      </c>
      <c r="BP125">
        <f>$AW48-SUM($BE48:BP48)</f>
        <v>445.82060370240004</v>
      </c>
      <c r="BQ125">
        <f>$AW48-SUM($BE48:BQ48)</f>
        <v>445.82060370240004</v>
      </c>
      <c r="BR125">
        <f>$AW48-SUM($BE48:BR48)</f>
        <v>445.82060370240004</v>
      </c>
      <c r="BS125">
        <f>$AW48-SUM($BE48:BS48)</f>
        <v>445.82060370240004</v>
      </c>
      <c r="BT125">
        <f>$AW48-SUM($BE48:BT48)</f>
        <v>445.82060370240004</v>
      </c>
      <c r="BU125">
        <f>$AW48-SUM($BE48:BU48)</f>
        <v>445.82060370240004</v>
      </c>
      <c r="BV125">
        <f>$AW48-SUM($BE48:BV48)</f>
        <v>445.82060370240004</v>
      </c>
      <c r="BW125">
        <f>$AW48-SUM($BE48:BW48)</f>
        <v>445.82060370240004</v>
      </c>
      <c r="BX125">
        <f>$AW48-SUM($BE48:BX48)</f>
        <v>445.82060370240004</v>
      </c>
      <c r="BY125">
        <f>$AW48-SUM($BE48:BY48)</f>
        <v>445.82060370240004</v>
      </c>
      <c r="BZ125">
        <f>$AW48-SUM($BE48:BZ48)</f>
        <v>445.82060370240004</v>
      </c>
      <c r="CA125">
        <f>$AW48-SUM($BE48:CA48)</f>
        <v>445.82060370240004</v>
      </c>
      <c r="CB125">
        <f>$AW48-SUM($BE48:CB48)</f>
        <v>445.82060370240004</v>
      </c>
      <c r="CC125">
        <f>$AW48-SUM($BE48:CC48)</f>
        <v>445.82060370240004</v>
      </c>
      <c r="CD125">
        <f>$AW48-SUM($BE48:CD48)</f>
        <v>445.82060370240004</v>
      </c>
      <c r="CE125">
        <f>$AW48-SUM($BE48:CE48)</f>
        <v>445.82060370240004</v>
      </c>
      <c r="CF125">
        <f>$AW48-SUM($BE48:CF48)</f>
        <v>445.82060370240004</v>
      </c>
      <c r="CG125">
        <f>$AW48-SUM($BE48:CG48)</f>
        <v>445.82060370240004</v>
      </c>
      <c r="CH125">
        <f>$AW48-SUM($BE48:CH48)</f>
        <v>445.82060370240004</v>
      </c>
      <c r="CI125">
        <f>$AW48-SUM($BE48:CI48)</f>
        <v>445.82060370240004</v>
      </c>
      <c r="CJ125">
        <f>$AW48-SUM($BE48:CJ48)</f>
        <v>445.82060370240004</v>
      </c>
      <c r="CK125">
        <f>$AW48-SUM($BE48:CK48)</f>
        <v>445.82060370240004</v>
      </c>
      <c r="CL125">
        <f>$AW48-SUM($BE48:CL48)</f>
        <v>445.82060370240004</v>
      </c>
      <c r="CM125">
        <f>$AW48-SUM($BE48:CM48)</f>
        <v>445.82060370240004</v>
      </c>
      <c r="CN125">
        <f>$AW48-SUM($BE48:CN48)</f>
        <v>445.82060370240004</v>
      </c>
      <c r="CO125">
        <f>$AW48-SUM($BE48:CO48)</f>
        <v>445.82060370240004</v>
      </c>
      <c r="CP125">
        <f>$AW48-SUM($BE48:CP48)</f>
        <v>445.82060370240004</v>
      </c>
      <c r="CQ125">
        <f>$AW48-SUM($BE48:CQ48)</f>
        <v>440.39818786318716</v>
      </c>
      <c r="CR125">
        <f>$AW48-SUM($BE48:CR48)</f>
        <v>417.53809895762373</v>
      </c>
      <c r="CS125">
        <f>$AW48-SUM($BE48:CS48)</f>
        <v>385.549789848871</v>
      </c>
      <c r="CT125">
        <f>$AW48-SUM($BE48:CT48)</f>
        <v>351.51413451242956</v>
      </c>
      <c r="CU125">
        <f>$AW48-SUM($BE48:CU48)</f>
        <v>318.68958221790797</v>
      </c>
      <c r="CV125">
        <f>$AW48-SUM($BE48:CV48)</f>
        <v>288.36820852098583</v>
      </c>
      <c r="CW125">
        <f>$AW48-SUM($BE48:CW48)</f>
        <v>260.93277971305696</v>
      </c>
      <c r="CX125">
        <f>$AW48-SUM($BE48:CX48)</f>
        <v>236.3590605858339</v>
      </c>
      <c r="CY125">
        <f>$AW48-SUM($BE48:CY48)</f>
        <v>214.45123247555176</v>
      </c>
      <c r="CZ125">
        <f>$AW48-SUM($BE48:CZ48)</f>
        <v>194.95262097820188</v>
      </c>
      <c r="DA125">
        <f>$AW48-SUM($BE48:DA48)</f>
        <v>177.59732409728821</v>
      </c>
      <c r="DB125">
        <f>$AW48-SUM($BE48:DB48)</f>
        <v>162.13333038775608</v>
      </c>
      <c r="DC125">
        <f>$AW48-SUM($BE48:DC48)</f>
        <v>148.33175094906858</v>
      </c>
      <c r="DD125">
        <f>$AW48-SUM($BE48:DD48)</f>
        <v>135.98932322216376</v>
      </c>
      <c r="DE125">
        <f>$AW48-SUM($BE48:DE48)</f>
        <v>124.92775182140383</v>
      </c>
      <c r="DF125">
        <f>$AW48-SUM($BE48:DF48)</f>
        <v>114.99167722533491</v>
      </c>
      <c r="DG125">
        <f>$AW48-SUM($BE48:DG48)</f>
        <v>106.04616821685619</v>
      </c>
      <c r="DH125">
        <f>$AW48-SUM($BE48:DH48)</f>
        <v>97.974175937077177</v>
      </c>
      <c r="DI125">
        <f>$AW48-SUM($BE48:DI48)</f>
        <v>90.674151376348618</v>
      </c>
      <c r="DJ125">
        <f>$AW48-SUM($BE48:DJ48)</f>
        <v>84.057906880605799</v>
      </c>
      <c r="DK125">
        <f>$AW48-SUM($BE48:DK48)</f>
        <v>78.048741097592881</v>
      </c>
      <c r="DL125">
        <f>$AW48-SUM($BE48:DL48)</f>
        <v>72.579817270587057</v>
      </c>
      <c r="DM125">
        <f>$AW48-SUM($BE48:DM48)</f>
        <v>67.592771883345961</v>
      </c>
      <c r="DN125">
        <f>$AW48-SUM($BE48:DN48)</f>
        <v>63.036526355150784</v>
      </c>
      <c r="DO125">
        <f>$AW48-SUM($BE48:DO48)</f>
        <v>58.866274483124982</v>
      </c>
      <c r="DP125">
        <f>$AW48-SUM($BE48:DP48)</f>
        <v>55.042620332144452</v>
      </c>
      <c r="DQ125">
        <f>$AW48-SUM($BE48:DQ48)</f>
        <v>51.530844064993516</v>
      </c>
      <c r="DR125">
        <f>$AW48-SUM($BE48:DR48)</f>
        <v>48.300276160725673</v>
      </c>
      <c r="DS125">
        <f>$AW48-SUM($BE48:DS48)</f>
        <v>45.323763281619563</v>
      </c>
      <c r="DT125">
        <f>$AW48-SUM($BE48:DT48)</f>
        <v>42.577211585442399</v>
      </c>
      <c r="DU125">
        <f>$AW48-SUM($BE48:DU48)</f>
        <v>40.039195497750882</v>
      </c>
      <c r="DV125">
        <f>$AW48-SUM($BE48:DV48)</f>
        <v>37.690621862598448</v>
      </c>
      <c r="DW125" s="4">
        <f>$AW48-SUM($BE48:DW48)</f>
        <v>35.514441004711216</v>
      </c>
    </row>
    <row r="126" spans="4:127" x14ac:dyDescent="0.25">
      <c r="D126"/>
      <c r="BD126">
        <v>2029</v>
      </c>
      <c r="BE126">
        <f>$AW49-SUM($BE49:BE49)</f>
        <v>448.42899460607998</v>
      </c>
      <c r="BF126">
        <f>$AW49-SUM($BE49:BF49)</f>
        <v>448.42899460607998</v>
      </c>
      <c r="BG126">
        <f>$AW49-SUM($BE49:BG49)</f>
        <v>448.42899460607998</v>
      </c>
      <c r="BH126">
        <f>$AW49-SUM($BE49:BH49)</f>
        <v>448.42899460607998</v>
      </c>
      <c r="BI126">
        <f>$AW49-SUM($BE49:BI49)</f>
        <v>448.42899460607998</v>
      </c>
      <c r="BJ126">
        <f>$AW49-SUM($BE49:BJ49)</f>
        <v>448.42899460607998</v>
      </c>
      <c r="BK126">
        <f>$AW49-SUM($BE49:BK49)</f>
        <v>448.42899460607998</v>
      </c>
      <c r="BL126">
        <f>$AW49-SUM($BE49:BL49)</f>
        <v>448.42899460607998</v>
      </c>
      <c r="BM126">
        <f>$AW49-SUM($BE49:BM49)</f>
        <v>448.42899460607998</v>
      </c>
      <c r="BN126">
        <f>$AW49-SUM($BE49:BN49)</f>
        <v>448.42899460607998</v>
      </c>
      <c r="BO126">
        <f>$AW49-SUM($BE49:BO49)</f>
        <v>448.42899460607998</v>
      </c>
      <c r="BP126">
        <f>$AW49-SUM($BE49:BP49)</f>
        <v>448.42899460607998</v>
      </c>
      <c r="BQ126">
        <f>$AW49-SUM($BE49:BQ49)</f>
        <v>448.42899460607998</v>
      </c>
      <c r="BR126">
        <f>$AW49-SUM($BE49:BR49)</f>
        <v>448.42899460607998</v>
      </c>
      <c r="BS126">
        <f>$AW49-SUM($BE49:BS49)</f>
        <v>448.42899460607998</v>
      </c>
      <c r="BT126">
        <f>$AW49-SUM($BE49:BT49)</f>
        <v>448.42899460607998</v>
      </c>
      <c r="BU126">
        <f>$AW49-SUM($BE49:BU49)</f>
        <v>448.42899460607998</v>
      </c>
      <c r="BV126">
        <f>$AW49-SUM($BE49:BV49)</f>
        <v>448.42899460607998</v>
      </c>
      <c r="BW126">
        <f>$AW49-SUM($BE49:BW49)</f>
        <v>448.42899460607998</v>
      </c>
      <c r="BX126">
        <f>$AW49-SUM($BE49:BX49)</f>
        <v>448.42899460607998</v>
      </c>
      <c r="BY126">
        <f>$AW49-SUM($BE49:BY49)</f>
        <v>448.42899460607998</v>
      </c>
      <c r="BZ126">
        <f>$AW49-SUM($BE49:BZ49)</f>
        <v>448.42899460607998</v>
      </c>
      <c r="CA126">
        <f>$AW49-SUM($BE49:CA49)</f>
        <v>448.42899460607998</v>
      </c>
      <c r="CB126">
        <f>$AW49-SUM($BE49:CB49)</f>
        <v>448.42899460607998</v>
      </c>
      <c r="CC126">
        <f>$AW49-SUM($BE49:CC49)</f>
        <v>448.42899460607998</v>
      </c>
      <c r="CD126">
        <f>$AW49-SUM($BE49:CD49)</f>
        <v>448.42899460607998</v>
      </c>
      <c r="CE126">
        <f>$AW49-SUM($BE49:CE49)</f>
        <v>448.42899460607998</v>
      </c>
      <c r="CF126">
        <f>$AW49-SUM($BE49:CF49)</f>
        <v>448.42899460607998</v>
      </c>
      <c r="CG126">
        <f>$AW49-SUM($BE49:CG49)</f>
        <v>448.42899460607998</v>
      </c>
      <c r="CH126">
        <f>$AW49-SUM($BE49:CH49)</f>
        <v>448.42899460607998</v>
      </c>
      <c r="CI126">
        <f>$AW49-SUM($BE49:CI49)</f>
        <v>448.42899460607998</v>
      </c>
      <c r="CJ126">
        <f>$AW49-SUM($BE49:CJ49)</f>
        <v>448.42899460607998</v>
      </c>
      <c r="CK126">
        <f>$AW49-SUM($BE49:CK49)</f>
        <v>448.42899460607998</v>
      </c>
      <c r="CL126">
        <f>$AW49-SUM($BE49:CL49)</f>
        <v>448.42899460607998</v>
      </c>
      <c r="CM126">
        <f>$AW49-SUM($BE49:CM49)</f>
        <v>448.42899460607998</v>
      </c>
      <c r="CN126">
        <f>$AW49-SUM($BE49:CN49)</f>
        <v>448.42899460607998</v>
      </c>
      <c r="CO126">
        <f>$AW49-SUM($BE49:CO49)</f>
        <v>448.42899460607998</v>
      </c>
      <c r="CP126">
        <f>$AW49-SUM($BE49:CP49)</f>
        <v>448.42899460607998</v>
      </c>
      <c r="CQ126">
        <f>$AW49-SUM($BE49:CQ49)</f>
        <v>448.42899460607998</v>
      </c>
      <c r="CR126">
        <f>$AW49-SUM($BE49:CR49)</f>
        <v>442.9748534943393</v>
      </c>
      <c r="CS126">
        <f>$AW49-SUM($BE49:CS49)</f>
        <v>419.98101561561623</v>
      </c>
      <c r="CT126">
        <f>$AW49-SUM($BE49:CT49)</f>
        <v>387.80555047636511</v>
      </c>
      <c r="CU126">
        <f>$AW49-SUM($BE49:CU49)</f>
        <v>353.57076057089944</v>
      </c>
      <c r="CV126">
        <f>$AW49-SUM($BE49:CV49)</f>
        <v>320.55415958479358</v>
      </c>
      <c r="CW126">
        <f>$AW49-SUM($BE49:CW49)</f>
        <v>290.05538270219245</v>
      </c>
      <c r="CX126">
        <f>$AW49-SUM($BE49:CX49)</f>
        <v>262.45943568952634</v>
      </c>
      <c r="CY126">
        <f>$AW49-SUM($BE49:CY49)</f>
        <v>237.74194154403651</v>
      </c>
      <c r="CZ126">
        <f>$AW49-SUM($BE49:CZ49)</f>
        <v>215.70593591327264</v>
      </c>
      <c r="DA126">
        <f>$AW49-SUM($BE49:DA49)</f>
        <v>196.09324265199865</v>
      </c>
      <c r="DB126">
        <f>$AW49-SUM($BE49:DB49)</f>
        <v>178.63640403402997</v>
      </c>
      <c r="DC126">
        <f>$AW49-SUM($BE49:DC49)</f>
        <v>163.08193415495447</v>
      </c>
      <c r="DD126">
        <f>$AW49-SUM($BE49:DD49)</f>
        <v>149.19960493941653</v>
      </c>
      <c r="DE126">
        <f>$AW49-SUM($BE49:DE49)</f>
        <v>136.78496458719826</v>
      </c>
      <c r="DF126">
        <f>$AW49-SUM($BE49:DF49)</f>
        <v>125.65867454853213</v>
      </c>
      <c r="DG126">
        <f>$AW49-SUM($BE49:DG49)</f>
        <v>115.66446633015096</v>
      </c>
      <c r="DH126">
        <f>$AW49-SUM($BE49:DH49)</f>
        <v>106.66661926431749</v>
      </c>
      <c r="DI126">
        <f>$AW49-SUM($BE49:DI49)</f>
        <v>98.547399666953083</v>
      </c>
      <c r="DJ126">
        <f>$AW49-SUM($BE49:DJ49)</f>
        <v>91.204664389172194</v>
      </c>
      <c r="DK126">
        <f>$AW49-SUM($BE49:DK49)</f>
        <v>84.549709811804803</v>
      </c>
      <c r="DL126">
        <f>$AW49-SUM($BE49:DL49)</f>
        <v>78.50538582112506</v>
      </c>
      <c r="DM126">
        <f>$AW49-SUM($BE49:DM49)</f>
        <v>73.004464614355243</v>
      </c>
      <c r="DN126">
        <f>$AW49-SUM($BE49:DN49)</f>
        <v>67.988241204123938</v>
      </c>
      <c r="DO126">
        <f>$AW49-SUM($BE49:DO49)</f>
        <v>63.405338161018051</v>
      </c>
      <c r="DP126">
        <f>$AW49-SUM($BE49:DP49)</f>
        <v>59.210687131665907</v>
      </c>
      <c r="DQ126">
        <f>$AW49-SUM($BE49:DQ49)</f>
        <v>55.364661684645228</v>
      </c>
      <c r="DR126">
        <f>$AW49-SUM($BE49:DR49)</f>
        <v>51.832338845184893</v>
      </c>
      <c r="DS126">
        <f>$AW49-SUM($BE49:DS49)</f>
        <v>48.582869652225497</v>
      </c>
      <c r="DT126">
        <f>$AW49-SUM($BE49:DT49)</f>
        <v>45.588941900289171</v>
      </c>
      <c r="DU126">
        <f>$AW49-SUM($BE49:DU49)</f>
        <v>42.826320779771152</v>
      </c>
      <c r="DV126">
        <f>$AW49-SUM($BE49:DV49)</f>
        <v>40.273455360259732</v>
      </c>
      <c r="DW126" s="4">
        <f>$AW49-SUM($BE49:DW49)</f>
        <v>37.911140776268951</v>
      </c>
    </row>
    <row r="127" spans="4:127" x14ac:dyDescent="0.25">
      <c r="D127"/>
      <c r="BD127">
        <v>2030</v>
      </c>
      <c r="BE127">
        <f>$AW50-SUM($BE50:BE50)</f>
        <v>450.98072743488001</v>
      </c>
      <c r="BF127">
        <f>$AW50-SUM($BE50:BF50)</f>
        <v>450.98072743488001</v>
      </c>
      <c r="BG127">
        <f>$AW50-SUM($BE50:BG50)</f>
        <v>450.98072743488001</v>
      </c>
      <c r="BH127">
        <f>$AW50-SUM($BE50:BH50)</f>
        <v>450.98072743488001</v>
      </c>
      <c r="BI127">
        <f>$AW50-SUM($BE50:BI50)</f>
        <v>450.98072743488001</v>
      </c>
      <c r="BJ127">
        <f>$AW50-SUM($BE50:BJ50)</f>
        <v>450.98072743488001</v>
      </c>
      <c r="BK127">
        <f>$AW50-SUM($BE50:BK50)</f>
        <v>450.98072743488001</v>
      </c>
      <c r="BL127">
        <f>$AW50-SUM($BE50:BL50)</f>
        <v>450.98072743488001</v>
      </c>
      <c r="BM127">
        <f>$AW50-SUM($BE50:BM50)</f>
        <v>450.98072743488001</v>
      </c>
      <c r="BN127">
        <f>$AW50-SUM($BE50:BN50)</f>
        <v>450.98072743488001</v>
      </c>
      <c r="BO127">
        <f>$AW50-SUM($BE50:BO50)</f>
        <v>450.98072743488001</v>
      </c>
      <c r="BP127">
        <f>$AW50-SUM($BE50:BP50)</f>
        <v>450.98072743488001</v>
      </c>
      <c r="BQ127">
        <f>$AW50-SUM($BE50:BQ50)</f>
        <v>450.98072743488001</v>
      </c>
      <c r="BR127">
        <f>$AW50-SUM($BE50:BR50)</f>
        <v>450.98072743488001</v>
      </c>
      <c r="BS127">
        <f>$AW50-SUM($BE50:BS50)</f>
        <v>450.98072743488001</v>
      </c>
      <c r="BT127">
        <f>$AW50-SUM($BE50:BT50)</f>
        <v>450.98072743488001</v>
      </c>
      <c r="BU127">
        <f>$AW50-SUM($BE50:BU50)</f>
        <v>450.98072743488001</v>
      </c>
      <c r="BV127">
        <f>$AW50-SUM($BE50:BV50)</f>
        <v>450.98072743488001</v>
      </c>
      <c r="BW127">
        <f>$AW50-SUM($BE50:BW50)</f>
        <v>450.98072743488001</v>
      </c>
      <c r="BX127">
        <f>$AW50-SUM($BE50:BX50)</f>
        <v>450.98072743488001</v>
      </c>
      <c r="BY127">
        <f>$AW50-SUM($BE50:BY50)</f>
        <v>450.98072743488001</v>
      </c>
      <c r="BZ127">
        <f>$AW50-SUM($BE50:BZ50)</f>
        <v>450.98072743488001</v>
      </c>
      <c r="CA127">
        <f>$AW50-SUM($BE50:CA50)</f>
        <v>450.98072743488001</v>
      </c>
      <c r="CB127">
        <f>$AW50-SUM($BE50:CB50)</f>
        <v>450.98072743488001</v>
      </c>
      <c r="CC127">
        <f>$AW50-SUM($BE50:CC50)</f>
        <v>450.98072743488001</v>
      </c>
      <c r="CD127">
        <f>$AW50-SUM($BE50:CD50)</f>
        <v>450.98072743488001</v>
      </c>
      <c r="CE127">
        <f>$AW50-SUM($BE50:CE50)</f>
        <v>450.98072743488001</v>
      </c>
      <c r="CF127">
        <f>$AW50-SUM($BE50:CF50)</f>
        <v>450.98072743488001</v>
      </c>
      <c r="CG127">
        <f>$AW50-SUM($BE50:CG50)</f>
        <v>450.98072743488001</v>
      </c>
      <c r="CH127">
        <f>$AW50-SUM($BE50:CH50)</f>
        <v>450.98072743488001</v>
      </c>
      <c r="CI127">
        <f>$AW50-SUM($BE50:CI50)</f>
        <v>450.98072743488001</v>
      </c>
      <c r="CJ127">
        <f>$AW50-SUM($BE50:CJ50)</f>
        <v>450.98072743488001</v>
      </c>
      <c r="CK127">
        <f>$AW50-SUM($BE50:CK50)</f>
        <v>450.98072743488001</v>
      </c>
      <c r="CL127">
        <f>$AW50-SUM($BE50:CL50)</f>
        <v>450.98072743488001</v>
      </c>
      <c r="CM127">
        <f>$AW50-SUM($BE50:CM50)</f>
        <v>450.98072743488001</v>
      </c>
      <c r="CN127">
        <f>$AW50-SUM($BE50:CN50)</f>
        <v>450.98072743488001</v>
      </c>
      <c r="CO127">
        <f>$AW50-SUM($BE50:CO50)</f>
        <v>450.98072743488001</v>
      </c>
      <c r="CP127">
        <f>$AW50-SUM($BE50:CP50)</f>
        <v>450.98072743488001</v>
      </c>
      <c r="CQ127">
        <f>$AW50-SUM($BE50:CQ50)</f>
        <v>450.98072743488001</v>
      </c>
      <c r="CR127">
        <f>$AW50-SUM($BE50:CR50)</f>
        <v>450.98072743488001</v>
      </c>
      <c r="CS127">
        <f>$AW50-SUM($BE50:CS50)</f>
        <v>445.49555017004673</v>
      </c>
      <c r="CT127">
        <f>$AW50-SUM($BE50:CT50)</f>
        <v>422.37086854196542</v>
      </c>
      <c r="CU127">
        <f>$AW50-SUM($BE50:CU50)</f>
        <v>390.01231267560848</v>
      </c>
      <c r="CV127">
        <f>$AW50-SUM($BE50:CV50)</f>
        <v>355.58271369593126</v>
      </c>
      <c r="CW127">
        <f>$AW50-SUM($BE50:CW50)</f>
        <v>322.37823559740616</v>
      </c>
      <c r="CX127">
        <f>$AW50-SUM($BE50:CX50)</f>
        <v>291.70590898642956</v>
      </c>
      <c r="CY127">
        <f>$AW50-SUM($BE50:CY50)</f>
        <v>263.95293045978673</v>
      </c>
      <c r="CZ127">
        <f>$AW50-SUM($BE50:CZ50)</f>
        <v>239.09478430023134</v>
      </c>
      <c r="DA127">
        <f>$AW50-SUM($BE50:DA50)</f>
        <v>216.93338535266594</v>
      </c>
      <c r="DB127">
        <f>$AW50-SUM($BE50:DB50)</f>
        <v>197.20908835064824</v>
      </c>
      <c r="DC127">
        <f>$AW50-SUM($BE50:DC50)</f>
        <v>179.65291363103506</v>
      </c>
      <c r="DD127">
        <f>$AW50-SUM($BE50:DD50)</f>
        <v>164.00993285747586</v>
      </c>
      <c r="DE127">
        <f>$AW50-SUM($BE50:DE50)</f>
        <v>150.04860786863691</v>
      </c>
      <c r="DF127">
        <f>$AW50-SUM($BE50:DF50)</f>
        <v>137.56332345520593</v>
      </c>
      <c r="DG127">
        <f>$AW50-SUM($BE50:DG50)</f>
        <v>126.37372056234011</v>
      </c>
      <c r="DH127">
        <f>$AW50-SUM($BE50:DH50)</f>
        <v>116.32264146915941</v>
      </c>
      <c r="DI127">
        <f>$AW50-SUM($BE50:DI50)</f>
        <v>107.27359320531554</v>
      </c>
      <c r="DJ127">
        <f>$AW50-SUM($BE50:DJ50)</f>
        <v>99.108172136948951</v>
      </c>
      <c r="DK127">
        <f>$AW50-SUM($BE50:DK50)</f>
        <v>91.72365388151303</v>
      </c>
      <c r="DL127">
        <f>$AW50-SUM($BE50:DL50)</f>
        <v>85.030830062251141</v>
      </c>
      <c r="DM127">
        <f>$AW50-SUM($BE50:DM50)</f>
        <v>78.952111551724499</v>
      </c>
      <c r="DN127">
        <f>$AW50-SUM($BE50:DN50)</f>
        <v>73.419887995194074</v>
      </c>
      <c r="DO127">
        <f>$AW50-SUM($BE50:DO50)</f>
        <v>68.375120351413102</v>
      </c>
      <c r="DP127">
        <f>$AW50-SUM($BE50:DP50)</f>
        <v>63.766138833706009</v>
      </c>
      <c r="DQ127">
        <f>$AW50-SUM($BE50:DQ50)</f>
        <v>59.547618632498995</v>
      </c>
      <c r="DR127">
        <f>$AW50-SUM($BE50:DR50)</f>
        <v>55.679707826789183</v>
      </c>
      <c r="DS127">
        <f>$AW50-SUM($BE50:DS50)</f>
        <v>52.127284716695613</v>
      </c>
      <c r="DT127">
        <f>$AW50-SUM($BE50:DT50)</f>
        <v>48.859324798748389</v>
      </c>
      <c r="DU127">
        <f>$AW50-SUM($BE50:DU50)</f>
        <v>45.848360450553685</v>
      </c>
      <c r="DV127">
        <f>$AW50-SUM($BE50:DV50)</f>
        <v>43.070018957152683</v>
      </c>
      <c r="DW127" s="4">
        <f>$AW50-SUM($BE50:DW50)</f>
        <v>40.502626755080712</v>
      </c>
    </row>
    <row r="128" spans="4:127" x14ac:dyDescent="0.25">
      <c r="D128"/>
      <c r="BD128">
        <v>2031</v>
      </c>
      <c r="BE128">
        <f>$AW51-SUM($BE51:BE51)</f>
        <v>453.47181811775994</v>
      </c>
      <c r="BF128">
        <f>$AW51-SUM($BE51:BF51)</f>
        <v>453.47181811775994</v>
      </c>
      <c r="BG128">
        <f>$AW51-SUM($BE51:BG51)</f>
        <v>453.47181811775994</v>
      </c>
      <c r="BH128">
        <f>$AW51-SUM($BE51:BH51)</f>
        <v>453.47181811775994</v>
      </c>
      <c r="BI128">
        <f>$AW51-SUM($BE51:BI51)</f>
        <v>453.47181811775994</v>
      </c>
      <c r="BJ128">
        <f>$AW51-SUM($BE51:BJ51)</f>
        <v>453.47181811775994</v>
      </c>
      <c r="BK128">
        <f>$AW51-SUM($BE51:BK51)</f>
        <v>453.47181811775994</v>
      </c>
      <c r="BL128">
        <f>$AW51-SUM($BE51:BL51)</f>
        <v>453.47181811775994</v>
      </c>
      <c r="BM128">
        <f>$AW51-SUM($BE51:BM51)</f>
        <v>453.47181811775994</v>
      </c>
      <c r="BN128">
        <f>$AW51-SUM($BE51:BN51)</f>
        <v>453.47181811775994</v>
      </c>
      <c r="BO128">
        <f>$AW51-SUM($BE51:BO51)</f>
        <v>453.47181811775994</v>
      </c>
      <c r="BP128">
        <f>$AW51-SUM($BE51:BP51)</f>
        <v>453.47181811775994</v>
      </c>
      <c r="BQ128">
        <f>$AW51-SUM($BE51:BQ51)</f>
        <v>453.47181811775994</v>
      </c>
      <c r="BR128">
        <f>$AW51-SUM($BE51:BR51)</f>
        <v>453.47181811775994</v>
      </c>
      <c r="BS128">
        <f>$AW51-SUM($BE51:BS51)</f>
        <v>453.47181811775994</v>
      </c>
      <c r="BT128">
        <f>$AW51-SUM($BE51:BT51)</f>
        <v>453.47181811775994</v>
      </c>
      <c r="BU128">
        <f>$AW51-SUM($BE51:BU51)</f>
        <v>453.47181811775994</v>
      </c>
      <c r="BV128">
        <f>$AW51-SUM($BE51:BV51)</f>
        <v>453.47181811775994</v>
      </c>
      <c r="BW128">
        <f>$AW51-SUM($BE51:BW51)</f>
        <v>453.47181811775994</v>
      </c>
      <c r="BX128">
        <f>$AW51-SUM($BE51:BX51)</f>
        <v>453.47181811775994</v>
      </c>
      <c r="BY128">
        <f>$AW51-SUM($BE51:BY51)</f>
        <v>453.47181811775994</v>
      </c>
      <c r="BZ128">
        <f>$AW51-SUM($BE51:BZ51)</f>
        <v>453.47181811775994</v>
      </c>
      <c r="CA128">
        <f>$AW51-SUM($BE51:CA51)</f>
        <v>453.47181811775994</v>
      </c>
      <c r="CB128">
        <f>$AW51-SUM($BE51:CB51)</f>
        <v>453.47181811775994</v>
      </c>
      <c r="CC128">
        <f>$AW51-SUM($BE51:CC51)</f>
        <v>453.47181811775994</v>
      </c>
      <c r="CD128">
        <f>$AW51-SUM($BE51:CD51)</f>
        <v>453.47181811775994</v>
      </c>
      <c r="CE128">
        <f>$AW51-SUM($BE51:CE51)</f>
        <v>453.47181811775994</v>
      </c>
      <c r="CF128">
        <f>$AW51-SUM($BE51:CF51)</f>
        <v>453.47181811775994</v>
      </c>
      <c r="CG128">
        <f>$AW51-SUM($BE51:CG51)</f>
        <v>453.47181811775994</v>
      </c>
      <c r="CH128">
        <f>$AW51-SUM($BE51:CH51)</f>
        <v>453.47181811775994</v>
      </c>
      <c r="CI128">
        <f>$AW51-SUM($BE51:CI51)</f>
        <v>453.47181811775994</v>
      </c>
      <c r="CJ128">
        <f>$AW51-SUM($BE51:CJ51)</f>
        <v>453.47181811775994</v>
      </c>
      <c r="CK128">
        <f>$AW51-SUM($BE51:CK51)</f>
        <v>453.47181811775994</v>
      </c>
      <c r="CL128">
        <f>$AW51-SUM($BE51:CL51)</f>
        <v>453.47181811775994</v>
      </c>
      <c r="CM128">
        <f>$AW51-SUM($BE51:CM51)</f>
        <v>453.47181811775994</v>
      </c>
      <c r="CN128">
        <f>$AW51-SUM($BE51:CN51)</f>
        <v>453.47181811775994</v>
      </c>
      <c r="CO128">
        <f>$AW51-SUM($BE51:CO51)</f>
        <v>453.47181811775994</v>
      </c>
      <c r="CP128">
        <f>$AW51-SUM($BE51:CP51)</f>
        <v>453.47181811775994</v>
      </c>
      <c r="CQ128">
        <f>$AW51-SUM($BE51:CQ51)</f>
        <v>453.47181811775994</v>
      </c>
      <c r="CR128">
        <f>$AW51-SUM($BE51:CR51)</f>
        <v>453.47181811775994</v>
      </c>
      <c r="CS128">
        <f>$AW51-SUM($BE51:CS51)</f>
        <v>453.47181811775994</v>
      </c>
      <c r="CT128">
        <f>$AW51-SUM($BE51:CT51)</f>
        <v>447.95634227663032</v>
      </c>
      <c r="CU128">
        <f>$AW51-SUM($BE51:CU51)</f>
        <v>424.70392641193109</v>
      </c>
      <c r="CV128">
        <f>$AW51-SUM($BE51:CV51)</f>
        <v>392.1666309850421</v>
      </c>
      <c r="CW128">
        <f>$AW51-SUM($BE51:CW51)</f>
        <v>357.54685258523443</v>
      </c>
      <c r="CX128">
        <f>$AW51-SUM($BE51:CX51)</f>
        <v>324.15896228971462</v>
      </c>
      <c r="CY128">
        <f>$AW51-SUM($BE51:CY51)</f>
        <v>293.31721037429656</v>
      </c>
      <c r="CZ128">
        <f>$AW51-SUM($BE51:CZ51)</f>
        <v>265.41093220085264</v>
      </c>
      <c r="DA128">
        <f>$AW51-SUM($BE51:DA51)</f>
        <v>240.41547663421028</v>
      </c>
      <c r="DB128">
        <f>$AW51-SUM($BE51:DB51)</f>
        <v>218.13166435259427</v>
      </c>
      <c r="DC128">
        <f>$AW51-SUM($BE51:DC51)</f>
        <v>198.29841588214563</v>
      </c>
      <c r="DD128">
        <f>$AW51-SUM($BE51:DD51)</f>
        <v>180.64526579172269</v>
      </c>
      <c r="DE128">
        <f>$AW51-SUM($BE51:DE51)</f>
        <v>164.91587759255327</v>
      </c>
      <c r="DF128">
        <f>$AW51-SUM($BE51:DF51)</f>
        <v>150.87743417162926</v>
      </c>
      <c r="DG128">
        <f>$AW51-SUM($BE51:DG51)</f>
        <v>138.32318455905931</v>
      </c>
      <c r="DH128">
        <f>$AW51-SUM($BE51:DH51)</f>
        <v>127.0717734473144</v>
      </c>
      <c r="DI128">
        <f>$AW51-SUM($BE51:DI51)</f>
        <v>116.96517502047101</v>
      </c>
      <c r="DJ128">
        <f>$AW51-SUM($BE51:DJ51)</f>
        <v>107.86614235940647</v>
      </c>
      <c r="DK128">
        <f>$AW51-SUM($BE51:DK51)</f>
        <v>99.655617801893243</v>
      </c>
      <c r="DL128">
        <f>$AW51-SUM($BE51:DL51)</f>
        <v>92.230309544790714</v>
      </c>
      <c r="DM128">
        <f>$AW51-SUM($BE51:DM51)</f>
        <v>85.500516449362294</v>
      </c>
      <c r="DN128">
        <f>$AW51-SUM($BE51:DN51)</f>
        <v>79.388220807654079</v>
      </c>
      <c r="DO128">
        <f>$AW51-SUM($BE51:DO51)</f>
        <v>73.825438804345538</v>
      </c>
      <c r="DP128">
        <f>$AW51-SUM($BE51:DP51)</f>
        <v>68.752805283132943</v>
      </c>
      <c r="DQ128">
        <f>$AW51-SUM($BE51:DQ51)</f>
        <v>64.118365047973214</v>
      </c>
      <c r="DR128">
        <f>$AW51-SUM($BE51:DR51)</f>
        <v>59.876542927793878</v>
      </c>
      <c r="DS128">
        <f>$AW51-SUM($BE51:DS51)</f>
        <v>55.987266870790222</v>
      </c>
      <c r="DT128">
        <f>$AW51-SUM($BE51:DT51)</f>
        <v>52.415221174690487</v>
      </c>
      <c r="DU128">
        <f>$AW51-SUM($BE51:DU51)</f>
        <v>49.129209965394409</v>
      </c>
      <c r="DV128">
        <f>$AW51-SUM($BE51:DV51)</f>
        <v>46.101613897088441</v>
      </c>
      <c r="DW128" s="4">
        <f>$AW51-SUM($BE51:DW51)</f>
        <v>43.307925626792041</v>
      </c>
    </row>
    <row r="129" spans="4:127" x14ac:dyDescent="0.25">
      <c r="D129"/>
      <c r="BD129">
        <v>2032</v>
      </c>
      <c r="BE129">
        <f>$AW52-SUM($BE52:BE52)</f>
        <v>455.90209248768002</v>
      </c>
      <c r="BF129">
        <f>$AW52-SUM($BE52:BF52)</f>
        <v>455.90209248768002</v>
      </c>
      <c r="BG129">
        <f>$AW52-SUM($BE52:BG52)</f>
        <v>455.90209248768002</v>
      </c>
      <c r="BH129">
        <f>$AW52-SUM($BE52:BH52)</f>
        <v>455.90209248768002</v>
      </c>
      <c r="BI129">
        <f>$AW52-SUM($BE52:BI52)</f>
        <v>455.90209248768002</v>
      </c>
      <c r="BJ129">
        <f>$AW52-SUM($BE52:BJ52)</f>
        <v>455.90209248768002</v>
      </c>
      <c r="BK129">
        <f>$AW52-SUM($BE52:BK52)</f>
        <v>455.90209248768002</v>
      </c>
      <c r="BL129">
        <f>$AW52-SUM($BE52:BL52)</f>
        <v>455.90209248768002</v>
      </c>
      <c r="BM129">
        <f>$AW52-SUM($BE52:BM52)</f>
        <v>455.90209248768002</v>
      </c>
      <c r="BN129">
        <f>$AW52-SUM($BE52:BN52)</f>
        <v>455.90209248768002</v>
      </c>
      <c r="BO129">
        <f>$AW52-SUM($BE52:BO52)</f>
        <v>455.90209248768002</v>
      </c>
      <c r="BP129">
        <f>$AW52-SUM($BE52:BP52)</f>
        <v>455.90209248768002</v>
      </c>
      <c r="BQ129">
        <f>$AW52-SUM($BE52:BQ52)</f>
        <v>455.90209248768002</v>
      </c>
      <c r="BR129">
        <f>$AW52-SUM($BE52:BR52)</f>
        <v>455.90209248768002</v>
      </c>
      <c r="BS129">
        <f>$AW52-SUM($BE52:BS52)</f>
        <v>455.90209248768002</v>
      </c>
      <c r="BT129">
        <f>$AW52-SUM($BE52:BT52)</f>
        <v>455.90209248768002</v>
      </c>
      <c r="BU129">
        <f>$AW52-SUM($BE52:BU52)</f>
        <v>455.90209248768002</v>
      </c>
      <c r="BV129">
        <f>$AW52-SUM($BE52:BV52)</f>
        <v>455.90209248768002</v>
      </c>
      <c r="BW129">
        <f>$AW52-SUM($BE52:BW52)</f>
        <v>455.90209248768002</v>
      </c>
      <c r="BX129">
        <f>$AW52-SUM($BE52:BX52)</f>
        <v>455.90209248768002</v>
      </c>
      <c r="BY129">
        <f>$AW52-SUM($BE52:BY52)</f>
        <v>455.90209248768002</v>
      </c>
      <c r="BZ129">
        <f>$AW52-SUM($BE52:BZ52)</f>
        <v>455.90209248768002</v>
      </c>
      <c r="CA129">
        <f>$AW52-SUM($BE52:CA52)</f>
        <v>455.90209248768002</v>
      </c>
      <c r="CB129">
        <f>$AW52-SUM($BE52:CB52)</f>
        <v>455.90209248768002</v>
      </c>
      <c r="CC129">
        <f>$AW52-SUM($BE52:CC52)</f>
        <v>455.90209248768002</v>
      </c>
      <c r="CD129">
        <f>$AW52-SUM($BE52:CD52)</f>
        <v>455.90209248768002</v>
      </c>
      <c r="CE129">
        <f>$AW52-SUM($BE52:CE52)</f>
        <v>455.90209248768002</v>
      </c>
      <c r="CF129">
        <f>$AW52-SUM($BE52:CF52)</f>
        <v>455.90209248768002</v>
      </c>
      <c r="CG129">
        <f>$AW52-SUM($BE52:CG52)</f>
        <v>455.90209248768002</v>
      </c>
      <c r="CH129">
        <f>$AW52-SUM($BE52:CH52)</f>
        <v>455.90209248768002</v>
      </c>
      <c r="CI129">
        <f>$AW52-SUM($BE52:CI52)</f>
        <v>455.90209248768002</v>
      </c>
      <c r="CJ129">
        <f>$AW52-SUM($BE52:CJ52)</f>
        <v>455.90209248768002</v>
      </c>
      <c r="CK129">
        <f>$AW52-SUM($BE52:CK52)</f>
        <v>455.90209248768002</v>
      </c>
      <c r="CL129">
        <f>$AW52-SUM($BE52:CL52)</f>
        <v>455.90209248768002</v>
      </c>
      <c r="CM129">
        <f>$AW52-SUM($BE52:CM52)</f>
        <v>455.90209248768002</v>
      </c>
      <c r="CN129">
        <f>$AW52-SUM($BE52:CN52)</f>
        <v>455.90209248768002</v>
      </c>
      <c r="CO129">
        <f>$AW52-SUM($BE52:CO52)</f>
        <v>455.90209248768002</v>
      </c>
      <c r="CP129">
        <f>$AW52-SUM($BE52:CP52)</f>
        <v>455.90209248768002</v>
      </c>
      <c r="CQ129">
        <f>$AW52-SUM($BE52:CQ52)</f>
        <v>455.90209248768002</v>
      </c>
      <c r="CR129">
        <f>$AW52-SUM($BE52:CR52)</f>
        <v>455.90209248768002</v>
      </c>
      <c r="CS129">
        <f>$AW52-SUM($BE52:CS52)</f>
        <v>455.90209248768002</v>
      </c>
      <c r="CT129">
        <f>$AW52-SUM($BE52:CT52)</f>
        <v>455.90209248768002</v>
      </c>
      <c r="CU129">
        <f>$AW52-SUM($BE52:CU52)</f>
        <v>450.35705776540482</v>
      </c>
      <c r="CV129">
        <f>$AW52-SUM($BE52:CV52)</f>
        <v>426.98002610749211</v>
      </c>
      <c r="CW129">
        <f>$AW52-SUM($BE52:CW52)</f>
        <v>394.26835478339592</v>
      </c>
      <c r="CX129">
        <f>$AW52-SUM($BE52:CX52)</f>
        <v>359.46303991411901</v>
      </c>
      <c r="CY129">
        <f>$AW52-SUM($BE52:CY52)</f>
        <v>325.8962151604718</v>
      </c>
      <c r="CZ129">
        <f>$AW52-SUM($BE52:CZ52)</f>
        <v>294.88917421008227</v>
      </c>
      <c r="DA129">
        <f>$AW52-SUM($BE52:DA52)</f>
        <v>266.83333897510738</v>
      </c>
      <c r="DB129">
        <f>$AW52-SUM($BE52:DB52)</f>
        <v>241.70392620847801</v>
      </c>
      <c r="DC129">
        <f>$AW52-SUM($BE52:DC52)</f>
        <v>219.30068913421024</v>
      </c>
      <c r="DD129">
        <f>$AW52-SUM($BE52:DD52)</f>
        <v>199.36114908509182</v>
      </c>
      <c r="DE129">
        <f>$AW52-SUM($BE52:DE52)</f>
        <v>181.61339113482177</v>
      </c>
      <c r="DF129">
        <f>$AW52-SUM($BE52:DF52)</f>
        <v>165.79970502017517</v>
      </c>
      <c r="DG129">
        <f>$AW52-SUM($BE52:DG52)</f>
        <v>151.68602590019265</v>
      </c>
      <c r="DH129">
        <f>$AW52-SUM($BE52:DH52)</f>
        <v>139.06449477232667</v>
      </c>
      <c r="DI129">
        <f>$AW52-SUM($BE52:DI52)</f>
        <v>127.75278439840531</v>
      </c>
      <c r="DJ129">
        <f>$AW52-SUM($BE52:DJ52)</f>
        <v>117.59202206072445</v>
      </c>
      <c r="DK129">
        <f>$AW52-SUM($BE52:DK52)</f>
        <v>108.44422529793678</v>
      </c>
      <c r="DL129">
        <f>$AW52-SUM($BE52:DL52)</f>
        <v>100.189698386587</v>
      </c>
      <c r="DM129">
        <f>$AW52-SUM($BE52:DM52)</f>
        <v>92.724595955679149</v>
      </c>
      <c r="DN129">
        <f>$AW52-SUM($BE52:DN52)</f>
        <v>85.958736134555295</v>
      </c>
      <c r="DO129">
        <f>$AW52-SUM($BE52:DO52)</f>
        <v>79.81368309790895</v>
      </c>
      <c r="DP129">
        <f>$AW52-SUM($BE52:DP52)</f>
        <v>74.221088687328404</v>
      </c>
      <c r="DQ129">
        <f>$AW52-SUM($BE52:DQ52)</f>
        <v>69.121269593072384</v>
      </c>
      <c r="DR129">
        <f>$AW52-SUM($BE52:DR52)</f>
        <v>64.461992177579873</v>
      </c>
      <c r="DS129">
        <f>$AW52-SUM($BE52:DS52)</f>
        <v>60.1974370204872</v>
      </c>
      <c r="DT129">
        <f>$AW52-SUM($BE52:DT52)</f>
        <v>56.287317313357505</v>
      </c>
      <c r="DU129">
        <f>$AW52-SUM($BE52:DU52)</f>
        <v>52.696128087811019</v>
      </c>
      <c r="DV129">
        <f>$AW52-SUM($BE52:DV52)</f>
        <v>49.392506282878912</v>
      </c>
      <c r="DW129" s="4">
        <f>$AW52-SUM($BE52:DW52)</f>
        <v>46.348684533431765</v>
      </c>
    </row>
    <row r="130" spans="4:127" x14ac:dyDescent="0.25">
      <c r="D130"/>
      <c r="BD130">
        <v>2033</v>
      </c>
      <c r="BE130">
        <f>$AW53-SUM($BE53:BE53)</f>
        <v>458.27229971904001</v>
      </c>
      <c r="BF130">
        <f>$AW53-SUM($BE53:BF53)</f>
        <v>458.27229971904001</v>
      </c>
      <c r="BG130">
        <f>$AW53-SUM($BE53:BG53)</f>
        <v>458.27229971904001</v>
      </c>
      <c r="BH130">
        <f>$AW53-SUM($BE53:BH53)</f>
        <v>458.27229971904001</v>
      </c>
      <c r="BI130">
        <f>$AW53-SUM($BE53:BI53)</f>
        <v>458.27229971904001</v>
      </c>
      <c r="BJ130">
        <f>$AW53-SUM($BE53:BJ53)</f>
        <v>458.27229971904001</v>
      </c>
      <c r="BK130">
        <f>$AW53-SUM($BE53:BK53)</f>
        <v>458.27229971904001</v>
      </c>
      <c r="BL130">
        <f>$AW53-SUM($BE53:BL53)</f>
        <v>458.27229971904001</v>
      </c>
      <c r="BM130">
        <f>$AW53-SUM($BE53:BM53)</f>
        <v>458.27229971904001</v>
      </c>
      <c r="BN130">
        <f>$AW53-SUM($BE53:BN53)</f>
        <v>458.27229971904001</v>
      </c>
      <c r="BO130">
        <f>$AW53-SUM($BE53:BO53)</f>
        <v>458.27229971904001</v>
      </c>
      <c r="BP130">
        <f>$AW53-SUM($BE53:BP53)</f>
        <v>458.27229971904001</v>
      </c>
      <c r="BQ130">
        <f>$AW53-SUM($BE53:BQ53)</f>
        <v>458.27229971904001</v>
      </c>
      <c r="BR130">
        <f>$AW53-SUM($BE53:BR53)</f>
        <v>458.27229971904001</v>
      </c>
      <c r="BS130">
        <f>$AW53-SUM($BE53:BS53)</f>
        <v>458.27229971904001</v>
      </c>
      <c r="BT130">
        <f>$AW53-SUM($BE53:BT53)</f>
        <v>458.27229971904001</v>
      </c>
      <c r="BU130">
        <f>$AW53-SUM($BE53:BU53)</f>
        <v>458.27229971904001</v>
      </c>
      <c r="BV130">
        <f>$AW53-SUM($BE53:BV53)</f>
        <v>458.27229971904001</v>
      </c>
      <c r="BW130">
        <f>$AW53-SUM($BE53:BW53)</f>
        <v>458.27229971904001</v>
      </c>
      <c r="BX130">
        <f>$AW53-SUM($BE53:BX53)</f>
        <v>458.27229971904001</v>
      </c>
      <c r="BY130">
        <f>$AW53-SUM($BE53:BY53)</f>
        <v>458.27229971904001</v>
      </c>
      <c r="BZ130">
        <f>$AW53-SUM($BE53:BZ53)</f>
        <v>458.27229971904001</v>
      </c>
      <c r="CA130">
        <f>$AW53-SUM($BE53:CA53)</f>
        <v>458.27229971904001</v>
      </c>
      <c r="CB130">
        <f>$AW53-SUM($BE53:CB53)</f>
        <v>458.27229971904001</v>
      </c>
      <c r="CC130">
        <f>$AW53-SUM($BE53:CC53)</f>
        <v>458.27229971904001</v>
      </c>
      <c r="CD130">
        <f>$AW53-SUM($BE53:CD53)</f>
        <v>458.27229971904001</v>
      </c>
      <c r="CE130">
        <f>$AW53-SUM($BE53:CE53)</f>
        <v>458.27229971904001</v>
      </c>
      <c r="CF130">
        <f>$AW53-SUM($BE53:CF53)</f>
        <v>458.27229971904001</v>
      </c>
      <c r="CG130">
        <f>$AW53-SUM($BE53:CG53)</f>
        <v>458.27229971904001</v>
      </c>
      <c r="CH130">
        <f>$AW53-SUM($BE53:CH53)</f>
        <v>458.27229971904001</v>
      </c>
      <c r="CI130">
        <f>$AW53-SUM($BE53:CI53)</f>
        <v>458.27229971904001</v>
      </c>
      <c r="CJ130">
        <f>$AW53-SUM($BE53:CJ53)</f>
        <v>458.27229971904001</v>
      </c>
      <c r="CK130">
        <f>$AW53-SUM($BE53:CK53)</f>
        <v>458.27229971904001</v>
      </c>
      <c r="CL130">
        <f>$AW53-SUM($BE53:CL53)</f>
        <v>458.27229971904001</v>
      </c>
      <c r="CM130">
        <f>$AW53-SUM($BE53:CM53)</f>
        <v>458.27229971904001</v>
      </c>
      <c r="CN130">
        <f>$AW53-SUM($BE53:CN53)</f>
        <v>458.27229971904001</v>
      </c>
      <c r="CO130">
        <f>$AW53-SUM($BE53:CO53)</f>
        <v>458.27229971904001</v>
      </c>
      <c r="CP130">
        <f>$AW53-SUM($BE53:CP53)</f>
        <v>458.27229971904001</v>
      </c>
      <c r="CQ130">
        <f>$AW53-SUM($BE53:CQ53)</f>
        <v>458.27229971904001</v>
      </c>
      <c r="CR130">
        <f>$AW53-SUM($BE53:CR53)</f>
        <v>458.27229971904001</v>
      </c>
      <c r="CS130">
        <f>$AW53-SUM($BE53:CS53)</f>
        <v>458.27229971904001</v>
      </c>
      <c r="CT130">
        <f>$AW53-SUM($BE53:CT53)</f>
        <v>458.27229971904001</v>
      </c>
      <c r="CU130">
        <f>$AW53-SUM($BE53:CU53)</f>
        <v>458.27229971904001</v>
      </c>
      <c r="CV130">
        <f>$AW53-SUM($BE53:CV53)</f>
        <v>452.69843669873012</v>
      </c>
      <c r="CW130">
        <f>$AW53-SUM($BE53:CW53)</f>
        <v>429.1998692760198</v>
      </c>
      <c r="CX130">
        <f>$AW53-SUM($BE53:CX53)</f>
        <v>396.3181319636339</v>
      </c>
      <c r="CY130">
        <f>$AW53-SUM($BE53:CY53)</f>
        <v>361.331866380701</v>
      </c>
      <c r="CZ130">
        <f>$AW53-SUM($BE53:CZ53)</f>
        <v>327.59052974813096</v>
      </c>
      <c r="DA130">
        <f>$AW53-SUM($BE53:DA53)</f>
        <v>296.42228507901609</v>
      </c>
      <c r="DB130">
        <f>$AW53-SUM($BE53:DB53)</f>
        <v>268.22058926421158</v>
      </c>
      <c r="DC130">
        <f>$AW53-SUM($BE53:DC53)</f>
        <v>242.9605302100552</v>
      </c>
      <c r="DD130">
        <f>$AW53-SUM($BE53:DD53)</f>
        <v>220.44082006976234</v>
      </c>
      <c r="DE130">
        <f>$AW53-SUM($BE53:DE53)</f>
        <v>200.39761556550502</v>
      </c>
      <c r="DF130">
        <f>$AW53-SUM($BE53:DF53)</f>
        <v>182.55758810182999</v>
      </c>
      <c r="DG130">
        <f>$AW53-SUM($BE53:DG53)</f>
        <v>166.66168759553875</v>
      </c>
      <c r="DH130">
        <f>$AW53-SUM($BE53:DH53)</f>
        <v>152.47463231680962</v>
      </c>
      <c r="DI130">
        <f>$AW53-SUM($BE53:DI53)</f>
        <v>139.78748261679175</v>
      </c>
      <c r="DJ130">
        <f>$AW53-SUM($BE53:DJ53)</f>
        <v>128.41696334909886</v>
      </c>
      <c r="DK130">
        <f>$AW53-SUM($BE53:DK53)</f>
        <v>118.20337582643697</v>
      </c>
      <c r="DL130">
        <f>$AW53-SUM($BE53:DL53)</f>
        <v>109.00802022504024</v>
      </c>
      <c r="DM130">
        <f>$AW53-SUM($BE53:DM53)</f>
        <v>100.71057853067208</v>
      </c>
      <c r="DN130">
        <f>$AW53-SUM($BE53:DN53)</f>
        <v>93.206665486573058</v>
      </c>
      <c r="DO130">
        <f>$AW53-SUM($BE53:DO53)</f>
        <v>86.40563037202844</v>
      </c>
      <c r="DP130">
        <f>$AW53-SUM($BE53:DP53)</f>
        <v>80.228629578649759</v>
      </c>
      <c r="DQ130">
        <f>$AW53-SUM($BE53:DQ53)</f>
        <v>74.606959610109641</v>
      </c>
      <c r="DR130">
        <f>$AW53-SUM($BE53:DR53)</f>
        <v>69.4806268667719</v>
      </c>
      <c r="DS130">
        <f>$AW53-SUM($BE53:DS53)</f>
        <v>64.797126151572968</v>
      </c>
      <c r="DT130">
        <f>$AW53-SUM($BE53:DT53)</f>
        <v>60.510399831771394</v>
      </c>
      <c r="DU130">
        <f>$AW53-SUM($BE53:DU53)</f>
        <v>56.579951650265173</v>
      </c>
      <c r="DV130">
        <f>$AW53-SUM($BE53:DV53)</f>
        <v>52.970092050504945</v>
      </c>
      <c r="DW130" s="4">
        <f>$AW53-SUM($BE53:DW53)</f>
        <v>49.649294916876727</v>
      </c>
    </row>
    <row r="131" spans="4:127" x14ac:dyDescent="0.25">
      <c r="D131"/>
      <c r="BD131">
        <v>2034</v>
      </c>
      <c r="BE131">
        <f>$AW54-SUM($BE54:BE54)</f>
        <v>460.58314928639993</v>
      </c>
      <c r="BF131">
        <f>$AW54-SUM($BE54:BF54)</f>
        <v>460.58314928639993</v>
      </c>
      <c r="BG131">
        <f>$AW54-SUM($BE54:BG54)</f>
        <v>460.58314928639993</v>
      </c>
      <c r="BH131">
        <f>$AW54-SUM($BE54:BH54)</f>
        <v>460.58314928639993</v>
      </c>
      <c r="BI131">
        <f>$AW54-SUM($BE54:BI54)</f>
        <v>460.58314928639993</v>
      </c>
      <c r="BJ131">
        <f>$AW54-SUM($BE54:BJ54)</f>
        <v>460.58314928639993</v>
      </c>
      <c r="BK131">
        <f>$AW54-SUM($BE54:BK54)</f>
        <v>460.58314928639993</v>
      </c>
      <c r="BL131">
        <f>$AW54-SUM($BE54:BL54)</f>
        <v>460.58314928639993</v>
      </c>
      <c r="BM131">
        <f>$AW54-SUM($BE54:BM54)</f>
        <v>460.58314928639993</v>
      </c>
      <c r="BN131">
        <f>$AW54-SUM($BE54:BN54)</f>
        <v>460.58314928639993</v>
      </c>
      <c r="BO131">
        <f>$AW54-SUM($BE54:BO54)</f>
        <v>460.58314928639993</v>
      </c>
      <c r="BP131">
        <f>$AW54-SUM($BE54:BP54)</f>
        <v>460.58314928639993</v>
      </c>
      <c r="BQ131">
        <f>$AW54-SUM($BE54:BQ54)</f>
        <v>460.58314928639993</v>
      </c>
      <c r="BR131">
        <f>$AW54-SUM($BE54:BR54)</f>
        <v>460.58314928639993</v>
      </c>
      <c r="BS131">
        <f>$AW54-SUM($BE54:BS54)</f>
        <v>460.58314928639993</v>
      </c>
      <c r="BT131">
        <f>$AW54-SUM($BE54:BT54)</f>
        <v>460.58314928639993</v>
      </c>
      <c r="BU131">
        <f>$AW54-SUM($BE54:BU54)</f>
        <v>460.58314928639993</v>
      </c>
      <c r="BV131">
        <f>$AW54-SUM($BE54:BV54)</f>
        <v>460.58314928639993</v>
      </c>
      <c r="BW131">
        <f>$AW54-SUM($BE54:BW54)</f>
        <v>460.58314928639993</v>
      </c>
      <c r="BX131">
        <f>$AW54-SUM($BE54:BX54)</f>
        <v>460.58314928639993</v>
      </c>
      <c r="BY131">
        <f>$AW54-SUM($BE54:BY54)</f>
        <v>460.58314928639993</v>
      </c>
      <c r="BZ131">
        <f>$AW54-SUM($BE54:BZ54)</f>
        <v>460.58314928639993</v>
      </c>
      <c r="CA131">
        <f>$AW54-SUM($BE54:CA54)</f>
        <v>460.58314928639993</v>
      </c>
      <c r="CB131">
        <f>$AW54-SUM($BE54:CB54)</f>
        <v>460.58314928639993</v>
      </c>
      <c r="CC131">
        <f>$AW54-SUM($BE54:CC54)</f>
        <v>460.58314928639993</v>
      </c>
      <c r="CD131">
        <f>$AW54-SUM($BE54:CD54)</f>
        <v>460.58314928639993</v>
      </c>
      <c r="CE131">
        <f>$AW54-SUM($BE54:CE54)</f>
        <v>460.58314928639993</v>
      </c>
      <c r="CF131">
        <f>$AW54-SUM($BE54:CF54)</f>
        <v>460.58314928639993</v>
      </c>
      <c r="CG131">
        <f>$AW54-SUM($BE54:CG54)</f>
        <v>460.58314928639993</v>
      </c>
      <c r="CH131">
        <f>$AW54-SUM($BE54:CH54)</f>
        <v>460.58314928639993</v>
      </c>
      <c r="CI131">
        <f>$AW54-SUM($BE54:CI54)</f>
        <v>460.58314928639993</v>
      </c>
      <c r="CJ131">
        <f>$AW54-SUM($BE54:CJ54)</f>
        <v>460.58314928639993</v>
      </c>
      <c r="CK131">
        <f>$AW54-SUM($BE54:CK54)</f>
        <v>460.58314928639993</v>
      </c>
      <c r="CL131">
        <f>$AW54-SUM($BE54:CL54)</f>
        <v>460.58314928639993</v>
      </c>
      <c r="CM131">
        <f>$AW54-SUM($BE54:CM54)</f>
        <v>460.58314928639993</v>
      </c>
      <c r="CN131">
        <f>$AW54-SUM($BE54:CN54)</f>
        <v>460.58314928639993</v>
      </c>
      <c r="CO131">
        <f>$AW54-SUM($BE54:CO54)</f>
        <v>460.58314928639993</v>
      </c>
      <c r="CP131">
        <f>$AW54-SUM($BE54:CP54)</f>
        <v>460.58314928639993</v>
      </c>
      <c r="CQ131">
        <f>$AW54-SUM($BE54:CQ54)</f>
        <v>460.58314928639993</v>
      </c>
      <c r="CR131">
        <f>$AW54-SUM($BE54:CR54)</f>
        <v>460.58314928639993</v>
      </c>
      <c r="CS131">
        <f>$AW54-SUM($BE54:CS54)</f>
        <v>460.58314928639993</v>
      </c>
      <c r="CT131">
        <f>$AW54-SUM($BE54:CT54)</f>
        <v>460.58314928639993</v>
      </c>
      <c r="CU131">
        <f>$AW54-SUM($BE54:CU54)</f>
        <v>460.58314928639993</v>
      </c>
      <c r="CV131">
        <f>$AW54-SUM($BE54:CV54)</f>
        <v>460.58314928639993</v>
      </c>
      <c r="CW131">
        <f>$AW54-SUM($BE54:CW54)</f>
        <v>454.98117992198655</v>
      </c>
      <c r="CX131">
        <f>$AW54-SUM($BE54:CX54)</f>
        <v>431.36412038357201</v>
      </c>
      <c r="CY131">
        <f>$AW54-SUM($BE54:CY54)</f>
        <v>398.31657608593093</v>
      </c>
      <c r="CZ131">
        <f>$AW54-SUM($BE54:CZ54)</f>
        <v>363.15389138114529</v>
      </c>
      <c r="DA131">
        <f>$AW54-SUM($BE54:DA54)</f>
        <v>329.24241321218449</v>
      </c>
      <c r="DB131">
        <f>$AW54-SUM($BE54:DB54)</f>
        <v>297.9170018874521</v>
      </c>
      <c r="DC131">
        <f>$AW54-SUM($BE54:DC54)</f>
        <v>269.57309831404552</v>
      </c>
      <c r="DD131">
        <f>$AW54-SUM($BE54:DD54)</f>
        <v>244.18566477844536</v>
      </c>
      <c r="DE131">
        <f>$AW54-SUM($BE54:DE54)</f>
        <v>221.55239843485006</v>
      </c>
      <c r="DF131">
        <f>$AW54-SUM($BE54:DF54)</f>
        <v>201.40812556908463</v>
      </c>
      <c r="DG131">
        <f>$AW54-SUM($BE54:DG54)</f>
        <v>183.47813931939658</v>
      </c>
      <c r="DH131">
        <f>$AW54-SUM($BE54:DH54)</f>
        <v>167.50208333604445</v>
      </c>
      <c r="DI131">
        <f>$AW54-SUM($BE54:DI54)</f>
        <v>153.24348947518183</v>
      </c>
      <c r="DJ131">
        <f>$AW54-SUM($BE54:DJ54)</f>
        <v>140.49236450453708</v>
      </c>
      <c r="DK131">
        <f>$AW54-SUM($BE54:DK54)</f>
        <v>129.06450910820081</v>
      </c>
      <c r="DL131">
        <f>$AW54-SUM($BE54:DL54)</f>
        <v>118.79941931424213</v>
      </c>
      <c r="DM131">
        <f>$AW54-SUM($BE54:DM54)</f>
        <v>109.5576959015545</v>
      </c>
      <c r="DN131">
        <f>$AW54-SUM($BE54:DN54)</f>
        <v>101.21841414929634</v>
      </c>
      <c r="DO131">
        <f>$AW54-SUM($BE54:DO54)</f>
        <v>93.676662435432434</v>
      </c>
      <c r="DP131">
        <f>$AW54-SUM($BE54:DP54)</f>
        <v>86.841332930714771</v>
      </c>
      <c r="DQ131">
        <f>$AW54-SUM($BE54:DQ54)</f>
        <v>80.633184455881803</v>
      </c>
      <c r="DR131">
        <f>$AW54-SUM($BE54:DR54)</f>
        <v>74.983167075502479</v>
      </c>
      <c r="DS131">
        <f>$AW54-SUM($BE54:DS54)</f>
        <v>69.830984670709427</v>
      </c>
      <c r="DT131">
        <f>$AW54-SUM($BE54:DT54)</f>
        <v>65.123867285665767</v>
      </c>
      <c r="DU131">
        <f>$AW54-SUM($BE54:DU54)</f>
        <v>60.815525040861587</v>
      </c>
      <c r="DV131">
        <f>$AW54-SUM($BE54:DV54)</f>
        <v>56.865257475802593</v>
      </c>
      <c r="DW131" s="4">
        <f>$AW54-SUM($BE54:DW54)</f>
        <v>53.237195068455151</v>
      </c>
    </row>
    <row r="132" spans="4:127" x14ac:dyDescent="0.25">
      <c r="D132"/>
      <c r="BD132">
        <v>2035</v>
      </c>
      <c r="BE132">
        <f>$AW55-SUM($BE55:BE55)</f>
        <v>462.83567466624004</v>
      </c>
      <c r="BF132">
        <f>$AW55-SUM($BE55:BF55)</f>
        <v>462.83567466624004</v>
      </c>
      <c r="BG132">
        <f>$AW55-SUM($BE55:BG55)</f>
        <v>462.83567466624004</v>
      </c>
      <c r="BH132">
        <f>$AW55-SUM($BE55:BH55)</f>
        <v>462.83567466624004</v>
      </c>
      <c r="BI132">
        <f>$AW55-SUM($BE55:BI55)</f>
        <v>462.83567466624004</v>
      </c>
      <c r="BJ132">
        <f>$AW55-SUM($BE55:BJ55)</f>
        <v>462.83567466624004</v>
      </c>
      <c r="BK132">
        <f>$AW55-SUM($BE55:BK55)</f>
        <v>462.83567466624004</v>
      </c>
      <c r="BL132">
        <f>$AW55-SUM($BE55:BL55)</f>
        <v>462.83567466624004</v>
      </c>
      <c r="BM132">
        <f>$AW55-SUM($BE55:BM55)</f>
        <v>462.83567466624004</v>
      </c>
      <c r="BN132">
        <f>$AW55-SUM($BE55:BN55)</f>
        <v>462.83567466624004</v>
      </c>
      <c r="BO132">
        <f>$AW55-SUM($BE55:BO55)</f>
        <v>462.83567466624004</v>
      </c>
      <c r="BP132">
        <f>$AW55-SUM($BE55:BP55)</f>
        <v>462.83567466624004</v>
      </c>
      <c r="BQ132">
        <f>$AW55-SUM($BE55:BQ55)</f>
        <v>462.83567466624004</v>
      </c>
      <c r="BR132">
        <f>$AW55-SUM($BE55:BR55)</f>
        <v>462.83567466624004</v>
      </c>
      <c r="BS132">
        <f>$AW55-SUM($BE55:BS55)</f>
        <v>462.83567466624004</v>
      </c>
      <c r="BT132">
        <f>$AW55-SUM($BE55:BT55)</f>
        <v>462.83567466624004</v>
      </c>
      <c r="BU132">
        <f>$AW55-SUM($BE55:BU55)</f>
        <v>462.83567466624004</v>
      </c>
      <c r="BV132">
        <f>$AW55-SUM($BE55:BV55)</f>
        <v>462.83567466624004</v>
      </c>
      <c r="BW132">
        <f>$AW55-SUM($BE55:BW55)</f>
        <v>462.83567466624004</v>
      </c>
      <c r="BX132">
        <f>$AW55-SUM($BE55:BX55)</f>
        <v>462.83567466624004</v>
      </c>
      <c r="BY132">
        <f>$AW55-SUM($BE55:BY55)</f>
        <v>462.83567466624004</v>
      </c>
      <c r="BZ132">
        <f>$AW55-SUM($BE55:BZ55)</f>
        <v>462.83567466624004</v>
      </c>
      <c r="CA132">
        <f>$AW55-SUM($BE55:CA55)</f>
        <v>462.83567466624004</v>
      </c>
      <c r="CB132">
        <f>$AW55-SUM($BE55:CB55)</f>
        <v>462.83567466624004</v>
      </c>
      <c r="CC132">
        <f>$AW55-SUM($BE55:CC55)</f>
        <v>462.83567466624004</v>
      </c>
      <c r="CD132">
        <f>$AW55-SUM($BE55:CD55)</f>
        <v>462.83567466624004</v>
      </c>
      <c r="CE132">
        <f>$AW55-SUM($BE55:CE55)</f>
        <v>462.83567466624004</v>
      </c>
      <c r="CF132">
        <f>$AW55-SUM($BE55:CF55)</f>
        <v>462.83567466624004</v>
      </c>
      <c r="CG132">
        <f>$AW55-SUM($BE55:CG55)</f>
        <v>462.83567466624004</v>
      </c>
      <c r="CH132">
        <f>$AW55-SUM($BE55:CH55)</f>
        <v>462.83567466624004</v>
      </c>
      <c r="CI132">
        <f>$AW55-SUM($BE55:CI55)</f>
        <v>462.83567466624004</v>
      </c>
      <c r="CJ132">
        <f>$AW55-SUM($BE55:CJ55)</f>
        <v>462.83567466624004</v>
      </c>
      <c r="CK132">
        <f>$AW55-SUM($BE55:CK55)</f>
        <v>462.83567466624004</v>
      </c>
      <c r="CL132">
        <f>$AW55-SUM($BE55:CL55)</f>
        <v>462.83567466624004</v>
      </c>
      <c r="CM132">
        <f>$AW55-SUM($BE55:CM55)</f>
        <v>462.83567466624004</v>
      </c>
      <c r="CN132">
        <f>$AW55-SUM($BE55:CN55)</f>
        <v>462.83567466624004</v>
      </c>
      <c r="CO132">
        <f>$AW55-SUM($BE55:CO55)</f>
        <v>462.83567466624004</v>
      </c>
      <c r="CP132">
        <f>$AW55-SUM($BE55:CP55)</f>
        <v>462.83567466624004</v>
      </c>
      <c r="CQ132">
        <f>$AW55-SUM($BE55:CQ55)</f>
        <v>462.83567466624004</v>
      </c>
      <c r="CR132">
        <f>$AW55-SUM($BE55:CR55)</f>
        <v>462.83567466624004</v>
      </c>
      <c r="CS132">
        <f>$AW55-SUM($BE55:CS55)</f>
        <v>462.83567466624004</v>
      </c>
      <c r="CT132">
        <f>$AW55-SUM($BE55:CT55)</f>
        <v>462.83567466624004</v>
      </c>
      <c r="CU132">
        <f>$AW55-SUM($BE55:CU55)</f>
        <v>462.83567466624004</v>
      </c>
      <c r="CV132">
        <f>$AW55-SUM($BE55:CV55)</f>
        <v>462.83567466624004</v>
      </c>
      <c r="CW132">
        <f>$AW55-SUM($BE55:CW55)</f>
        <v>462.83567466624004</v>
      </c>
      <c r="CX132">
        <f>$AW55-SUM($BE55:CX55)</f>
        <v>457.20630834171209</v>
      </c>
      <c r="CY132">
        <f>$AW55-SUM($BE55:CY55)</f>
        <v>433.47374734370248</v>
      </c>
      <c r="CZ132">
        <f>$AW55-SUM($BE55:CZ55)</f>
        <v>400.26458091032509</v>
      </c>
      <c r="DA132">
        <f>$AW55-SUM($BE55:DA55)</f>
        <v>364.92992977593047</v>
      </c>
      <c r="DB132">
        <f>$AW55-SUM($BE55:DB55)</f>
        <v>330.85260432106304</v>
      </c>
      <c r="DC132">
        <f>$AW55-SUM($BE55:DC55)</f>
        <v>299.37399311450213</v>
      </c>
      <c r="DD132">
        <f>$AW55-SUM($BE55:DD55)</f>
        <v>270.89147100443881</v>
      </c>
      <c r="DE132">
        <f>$AW55-SUM($BE55:DE55)</f>
        <v>245.37987782805163</v>
      </c>
      <c r="DF132">
        <f>$AW55-SUM($BE55:DF55)</f>
        <v>222.6359213583703</v>
      </c>
      <c r="DG132">
        <f>$AW55-SUM($BE55:DG55)</f>
        <v>202.39313102413286</v>
      </c>
      <c r="DH132">
        <f>$AW55-SUM($BE55:DH55)</f>
        <v>184.37545648374163</v>
      </c>
      <c r="DI132">
        <f>$AW55-SUM($BE55:DI55)</f>
        <v>168.32126809014392</v>
      </c>
      <c r="DJ132">
        <f>$AW55-SUM($BE55:DJ55)</f>
        <v>153.99294122970849</v>
      </c>
      <c r="DK132">
        <f>$AW55-SUM($BE55:DK55)</f>
        <v>141.17945567843373</v>
      </c>
      <c r="DL132">
        <f>$AW55-SUM($BE55:DL55)</f>
        <v>129.69571127626369</v>
      </c>
      <c r="DM132">
        <f>$AW55-SUM($BE55:DM55)</f>
        <v>119.380419091438</v>
      </c>
      <c r="DN132">
        <f>$AW55-SUM($BE55:DN55)</f>
        <v>110.09349815779723</v>
      </c>
      <c r="DO132">
        <f>$AW55-SUM($BE55:DO55)</f>
        <v>101.71343236073477</v>
      </c>
      <c r="DP132">
        <f>$AW55-SUM($BE55:DP55)</f>
        <v>94.134796998022125</v>
      </c>
      <c r="DQ132">
        <f>$AW55-SUM($BE55:DQ55)</f>
        <v>87.266038668969941</v>
      </c>
      <c r="DR132">
        <f>$AW55-SUM($BE55:DR55)</f>
        <v>81.02752865784754</v>
      </c>
      <c r="DS132">
        <f>$AW55-SUM($BE55:DS55)</f>
        <v>75.34987933399492</v>
      </c>
      <c r="DT132">
        <f>$AW55-SUM($BE55:DT55)</f>
        <v>70.172499694682244</v>
      </c>
      <c r="DU132">
        <f>$AW55-SUM($BE55:DU55)</f>
        <v>65.442361707621103</v>
      </c>
      <c r="DV132">
        <f>$AW55-SUM($BE55:DV55)</f>
        <v>61.112949108275075</v>
      </c>
      <c r="DW132" s="4">
        <f>$AW55-SUM($BE55:DW55)</f>
        <v>57.143362386704894</v>
      </c>
    </row>
    <row r="133" spans="4:127" x14ac:dyDescent="0.25">
      <c r="D133"/>
      <c r="BD133">
        <v>2036</v>
      </c>
      <c r="BE133">
        <f>$AW56-SUM($BE56:BE56)</f>
        <v>465.03083121600002</v>
      </c>
      <c r="BF133">
        <f>$AW56-SUM($BE56:BF56)</f>
        <v>465.03083121600002</v>
      </c>
      <c r="BG133">
        <f>$AW56-SUM($BE56:BG56)</f>
        <v>465.03083121600002</v>
      </c>
      <c r="BH133">
        <f>$AW56-SUM($BE56:BH56)</f>
        <v>465.03083121600002</v>
      </c>
      <c r="BI133">
        <f>$AW56-SUM($BE56:BI56)</f>
        <v>465.03083121600002</v>
      </c>
      <c r="BJ133">
        <f>$AW56-SUM($BE56:BJ56)</f>
        <v>465.03083121600002</v>
      </c>
      <c r="BK133">
        <f>$AW56-SUM($BE56:BK56)</f>
        <v>465.03083121600002</v>
      </c>
      <c r="BL133">
        <f>$AW56-SUM($BE56:BL56)</f>
        <v>465.03083121600002</v>
      </c>
      <c r="BM133">
        <f>$AW56-SUM($BE56:BM56)</f>
        <v>465.03083121600002</v>
      </c>
      <c r="BN133">
        <f>$AW56-SUM($BE56:BN56)</f>
        <v>465.03083121600002</v>
      </c>
      <c r="BO133">
        <f>$AW56-SUM($BE56:BO56)</f>
        <v>465.03083121600002</v>
      </c>
      <c r="BP133">
        <f>$AW56-SUM($BE56:BP56)</f>
        <v>465.03083121600002</v>
      </c>
      <c r="BQ133">
        <f>$AW56-SUM($BE56:BQ56)</f>
        <v>465.03083121600002</v>
      </c>
      <c r="BR133">
        <f>$AW56-SUM($BE56:BR56)</f>
        <v>465.03083121600002</v>
      </c>
      <c r="BS133">
        <f>$AW56-SUM($BE56:BS56)</f>
        <v>465.03083121600002</v>
      </c>
      <c r="BT133">
        <f>$AW56-SUM($BE56:BT56)</f>
        <v>465.03083121600002</v>
      </c>
      <c r="BU133">
        <f>$AW56-SUM($BE56:BU56)</f>
        <v>465.03083121600002</v>
      </c>
      <c r="BV133">
        <f>$AW56-SUM($BE56:BV56)</f>
        <v>465.03083121600002</v>
      </c>
      <c r="BW133">
        <f>$AW56-SUM($BE56:BW56)</f>
        <v>465.03083121600002</v>
      </c>
      <c r="BX133">
        <f>$AW56-SUM($BE56:BX56)</f>
        <v>465.03083121600002</v>
      </c>
      <c r="BY133">
        <f>$AW56-SUM($BE56:BY56)</f>
        <v>465.03083121600002</v>
      </c>
      <c r="BZ133">
        <f>$AW56-SUM($BE56:BZ56)</f>
        <v>465.03083121600002</v>
      </c>
      <c r="CA133">
        <f>$AW56-SUM($BE56:CA56)</f>
        <v>465.03083121600002</v>
      </c>
      <c r="CB133">
        <f>$AW56-SUM($BE56:CB56)</f>
        <v>465.03083121600002</v>
      </c>
      <c r="CC133">
        <f>$AW56-SUM($BE56:CC56)</f>
        <v>465.03083121600002</v>
      </c>
      <c r="CD133">
        <f>$AW56-SUM($BE56:CD56)</f>
        <v>465.03083121600002</v>
      </c>
      <c r="CE133">
        <f>$AW56-SUM($BE56:CE56)</f>
        <v>465.03083121600002</v>
      </c>
      <c r="CF133">
        <f>$AW56-SUM($BE56:CF56)</f>
        <v>465.03083121600002</v>
      </c>
      <c r="CG133">
        <f>$AW56-SUM($BE56:CG56)</f>
        <v>465.03083121600002</v>
      </c>
      <c r="CH133">
        <f>$AW56-SUM($BE56:CH56)</f>
        <v>465.03083121600002</v>
      </c>
      <c r="CI133">
        <f>$AW56-SUM($BE56:CI56)</f>
        <v>465.03083121600002</v>
      </c>
      <c r="CJ133">
        <f>$AW56-SUM($BE56:CJ56)</f>
        <v>465.03083121600002</v>
      </c>
      <c r="CK133">
        <f>$AW56-SUM($BE56:CK56)</f>
        <v>465.03083121600002</v>
      </c>
      <c r="CL133">
        <f>$AW56-SUM($BE56:CL56)</f>
        <v>465.03083121600002</v>
      </c>
      <c r="CM133">
        <f>$AW56-SUM($BE56:CM56)</f>
        <v>465.03083121600002</v>
      </c>
      <c r="CN133">
        <f>$AW56-SUM($BE56:CN56)</f>
        <v>465.03083121600002</v>
      </c>
      <c r="CO133">
        <f>$AW56-SUM($BE56:CO56)</f>
        <v>465.03083121600002</v>
      </c>
      <c r="CP133">
        <f>$AW56-SUM($BE56:CP56)</f>
        <v>465.03083121600002</v>
      </c>
      <c r="CQ133">
        <f>$AW56-SUM($BE56:CQ56)</f>
        <v>465.03083121600002</v>
      </c>
      <c r="CR133">
        <f>$AW56-SUM($BE56:CR56)</f>
        <v>465.03083121600002</v>
      </c>
      <c r="CS133">
        <f>$AW56-SUM($BE56:CS56)</f>
        <v>465.03083121600002</v>
      </c>
      <c r="CT133">
        <f>$AW56-SUM($BE56:CT56)</f>
        <v>465.03083121600002</v>
      </c>
      <c r="CU133">
        <f>$AW56-SUM($BE56:CU56)</f>
        <v>465.03083121600002</v>
      </c>
      <c r="CV133">
        <f>$AW56-SUM($BE56:CV56)</f>
        <v>465.03083121600002</v>
      </c>
      <c r="CW133">
        <f>$AW56-SUM($BE56:CW56)</f>
        <v>465.03083121600002</v>
      </c>
      <c r="CX133">
        <f>$AW56-SUM($BE56:CX56)</f>
        <v>465.03083121600002</v>
      </c>
      <c r="CY133">
        <f>$AW56-SUM($BE56:CY56)</f>
        <v>459.3747656955486</v>
      </c>
      <c r="CZ133">
        <f>$AW56-SUM($BE56:CZ56)</f>
        <v>435.52964490673435</v>
      </c>
      <c r="DA133">
        <f>$AW56-SUM($BE56:DA56)</f>
        <v>402.16297263878437</v>
      </c>
      <c r="DB133">
        <f>$AW56-SUM($BE56:DB56)</f>
        <v>366.66073483137217</v>
      </c>
      <c r="DC133">
        <f>$AW56-SUM($BE56:DC56)</f>
        <v>332.42178600072566</v>
      </c>
      <c r="DD133">
        <f>$AW56-SUM($BE56:DD56)</f>
        <v>300.79387670987751</v>
      </c>
      <c r="DE133">
        <f>$AW56-SUM($BE56:DE56)</f>
        <v>272.1762664932013</v>
      </c>
      <c r="DF133">
        <f>$AW56-SUM($BE56:DF56)</f>
        <v>246.54367585719444</v>
      </c>
      <c r="DG133">
        <f>$AW56-SUM($BE56:DG56)</f>
        <v>223.69184839194241</v>
      </c>
      <c r="DH133">
        <f>$AW56-SUM($BE56:DH56)</f>
        <v>203.35304969832418</v>
      </c>
      <c r="DI133">
        <f>$AW56-SUM($BE56:DI56)</f>
        <v>185.24992017154432</v>
      </c>
      <c r="DJ133">
        <f>$AW56-SUM($BE56:DJ56)</f>
        <v>169.11958929643049</v>
      </c>
      <c r="DK133">
        <f>$AW56-SUM($BE56:DK56)</f>
        <v>154.72330544331624</v>
      </c>
      <c r="DL133">
        <f>$AW56-SUM($BE56:DL56)</f>
        <v>141.84904755258555</v>
      </c>
      <c r="DM133">
        <f>$AW56-SUM($BE56:DM56)</f>
        <v>130.31083756333999</v>
      </c>
      <c r="DN133">
        <f>$AW56-SUM($BE56:DN56)</f>
        <v>119.94662157587408</v>
      </c>
      <c r="DO133">
        <f>$AW56-SUM($BE56:DO56)</f>
        <v>110.6156542421167</v>
      </c>
      <c r="DP133">
        <f>$AW56-SUM($BE56:DP56)</f>
        <v>102.19584311571009</v>
      </c>
      <c r="DQ133">
        <f>$AW56-SUM($BE56:DQ56)</f>
        <v>94.581263481703502</v>
      </c>
      <c r="DR133">
        <f>$AW56-SUM($BE56:DR56)</f>
        <v>87.679927716079249</v>
      </c>
      <c r="DS133">
        <f>$AW56-SUM($BE56:DS56)</f>
        <v>81.411829436676669</v>
      </c>
      <c r="DT133">
        <f>$AW56-SUM($BE56:DT56)</f>
        <v>75.707251918255849</v>
      </c>
      <c r="DU133">
        <f>$AW56-SUM($BE56:DU56)</f>
        <v>70.505316784524894</v>
      </c>
      <c r="DV133">
        <f>$AW56-SUM($BE56:DV56)</f>
        <v>65.752744499608355</v>
      </c>
      <c r="DW133" s="4">
        <f>$AW56-SUM($BE56:DW56)</f>
        <v>61.402798179669333</v>
      </c>
    </row>
    <row r="134" spans="4:127" x14ac:dyDescent="0.25">
      <c r="D134"/>
      <c r="BD134">
        <v>2037</v>
      </c>
      <c r="BE134">
        <f>$AW57-SUM($BE57:BE57)</f>
        <v>467.17110465792001</v>
      </c>
      <c r="BF134">
        <f>$AW57-SUM($BE57:BF57)</f>
        <v>467.17110465792001</v>
      </c>
      <c r="BG134">
        <f>$AW57-SUM($BE57:BG57)</f>
        <v>467.17110465792001</v>
      </c>
      <c r="BH134">
        <f>$AW57-SUM($BE57:BH57)</f>
        <v>467.17110465792001</v>
      </c>
      <c r="BI134">
        <f>$AW57-SUM($BE57:BI57)</f>
        <v>467.17110465792001</v>
      </c>
      <c r="BJ134">
        <f>$AW57-SUM($BE57:BJ57)</f>
        <v>467.17110465792001</v>
      </c>
      <c r="BK134">
        <f>$AW57-SUM($BE57:BK57)</f>
        <v>467.17110465792001</v>
      </c>
      <c r="BL134">
        <f>$AW57-SUM($BE57:BL57)</f>
        <v>467.17110465792001</v>
      </c>
      <c r="BM134">
        <f>$AW57-SUM($BE57:BM57)</f>
        <v>467.17110465792001</v>
      </c>
      <c r="BN134">
        <f>$AW57-SUM($BE57:BN57)</f>
        <v>467.17110465792001</v>
      </c>
      <c r="BO134">
        <f>$AW57-SUM($BE57:BO57)</f>
        <v>467.17110465792001</v>
      </c>
      <c r="BP134">
        <f>$AW57-SUM($BE57:BP57)</f>
        <v>467.17110465792001</v>
      </c>
      <c r="BQ134">
        <f>$AW57-SUM($BE57:BQ57)</f>
        <v>467.17110465792001</v>
      </c>
      <c r="BR134">
        <f>$AW57-SUM($BE57:BR57)</f>
        <v>467.17110465792001</v>
      </c>
      <c r="BS134">
        <f>$AW57-SUM($BE57:BS57)</f>
        <v>467.17110465792001</v>
      </c>
      <c r="BT134">
        <f>$AW57-SUM($BE57:BT57)</f>
        <v>467.17110465792001</v>
      </c>
      <c r="BU134">
        <f>$AW57-SUM($BE57:BU57)</f>
        <v>467.17110465792001</v>
      </c>
      <c r="BV134">
        <f>$AW57-SUM($BE57:BV57)</f>
        <v>467.17110465792001</v>
      </c>
      <c r="BW134">
        <f>$AW57-SUM($BE57:BW57)</f>
        <v>467.17110465792001</v>
      </c>
      <c r="BX134">
        <f>$AW57-SUM($BE57:BX57)</f>
        <v>467.17110465792001</v>
      </c>
      <c r="BY134">
        <f>$AW57-SUM($BE57:BY57)</f>
        <v>467.17110465792001</v>
      </c>
      <c r="BZ134">
        <f>$AW57-SUM($BE57:BZ57)</f>
        <v>467.17110465792001</v>
      </c>
      <c r="CA134">
        <f>$AW57-SUM($BE57:CA57)</f>
        <v>467.17110465792001</v>
      </c>
      <c r="CB134">
        <f>$AW57-SUM($BE57:CB57)</f>
        <v>467.17110465792001</v>
      </c>
      <c r="CC134">
        <f>$AW57-SUM($BE57:CC57)</f>
        <v>467.17110465792001</v>
      </c>
      <c r="CD134">
        <f>$AW57-SUM($BE57:CD57)</f>
        <v>467.17110465792001</v>
      </c>
      <c r="CE134">
        <f>$AW57-SUM($BE57:CE57)</f>
        <v>467.17110465792001</v>
      </c>
      <c r="CF134">
        <f>$AW57-SUM($BE57:CF57)</f>
        <v>467.17110465792001</v>
      </c>
      <c r="CG134">
        <f>$AW57-SUM($BE57:CG57)</f>
        <v>467.17110465792001</v>
      </c>
      <c r="CH134">
        <f>$AW57-SUM($BE57:CH57)</f>
        <v>467.17110465792001</v>
      </c>
      <c r="CI134">
        <f>$AW57-SUM($BE57:CI57)</f>
        <v>467.17110465792001</v>
      </c>
      <c r="CJ134">
        <f>$AW57-SUM($BE57:CJ57)</f>
        <v>467.17110465792001</v>
      </c>
      <c r="CK134">
        <f>$AW57-SUM($BE57:CK57)</f>
        <v>467.17110465792001</v>
      </c>
      <c r="CL134">
        <f>$AW57-SUM($BE57:CL57)</f>
        <v>467.17110465792001</v>
      </c>
      <c r="CM134">
        <f>$AW57-SUM($BE57:CM57)</f>
        <v>467.17110465792001</v>
      </c>
      <c r="CN134">
        <f>$AW57-SUM($BE57:CN57)</f>
        <v>467.17110465792001</v>
      </c>
      <c r="CO134">
        <f>$AW57-SUM($BE57:CO57)</f>
        <v>467.17110465792001</v>
      </c>
      <c r="CP134">
        <f>$AW57-SUM($BE57:CP57)</f>
        <v>467.17110465792001</v>
      </c>
      <c r="CQ134">
        <f>$AW57-SUM($BE57:CQ57)</f>
        <v>467.17110465792001</v>
      </c>
      <c r="CR134">
        <f>$AW57-SUM($BE57:CR57)</f>
        <v>467.17110465792001</v>
      </c>
      <c r="CS134">
        <f>$AW57-SUM($BE57:CS57)</f>
        <v>467.17110465792001</v>
      </c>
      <c r="CT134">
        <f>$AW57-SUM($BE57:CT57)</f>
        <v>467.17110465792001</v>
      </c>
      <c r="CU134">
        <f>$AW57-SUM($BE57:CU57)</f>
        <v>467.17110465792001</v>
      </c>
      <c r="CV134">
        <f>$AW57-SUM($BE57:CV57)</f>
        <v>467.17110465792001</v>
      </c>
      <c r="CW134">
        <f>$AW57-SUM($BE57:CW57)</f>
        <v>467.17110465792001</v>
      </c>
      <c r="CX134">
        <f>$AW57-SUM($BE57:CX57)</f>
        <v>467.17110465792001</v>
      </c>
      <c r="CY134">
        <f>$AW57-SUM($BE57:CY57)</f>
        <v>467.17110465792001</v>
      </c>
      <c r="CZ134">
        <f>$AW57-SUM($BE57:CZ57)</f>
        <v>461.48900747245506</v>
      </c>
      <c r="DA134">
        <f>$AW57-SUM($BE57:DA57)</f>
        <v>437.53414110266453</v>
      </c>
      <c r="DB134">
        <f>$AW57-SUM($BE57:DB57)</f>
        <v>404.01390094693897</v>
      </c>
      <c r="DC134">
        <f>$AW57-SUM($BE57:DC57)</f>
        <v>368.34826645352808</v>
      </c>
      <c r="DD134">
        <f>$AW57-SUM($BE57:DD57)</f>
        <v>333.95173514029676</v>
      </c>
      <c r="DE134">
        <f>$AW57-SUM($BE57:DE57)</f>
        <v>302.17826050251961</v>
      </c>
      <c r="DF134">
        <f>$AW57-SUM($BE57:DF57)</f>
        <v>273.42893963999688</v>
      </c>
      <c r="DG134">
        <f>$AW57-SUM($BE57:DG57)</f>
        <v>247.67837671204029</v>
      </c>
      <c r="DH134">
        <f>$AW57-SUM($BE57:DH57)</f>
        <v>224.72137523220664</v>
      </c>
      <c r="DI134">
        <f>$AW57-SUM($BE57:DI57)</f>
        <v>204.28896857162698</v>
      </c>
      <c r="DJ134">
        <f>$AW57-SUM($BE57:DJ57)</f>
        <v>186.10252059638964</v>
      </c>
      <c r="DK134">
        <f>$AW57-SUM($BE57:DK57)</f>
        <v>169.8979509472764</v>
      </c>
      <c r="DL134">
        <f>$AW57-SUM($BE57:DL57)</f>
        <v>155.43540915613988</v>
      </c>
      <c r="DM134">
        <f>$AW57-SUM($BE57:DM57)</f>
        <v>142.5018983505521</v>
      </c>
      <c r="DN134">
        <f>$AW57-SUM($BE57:DN57)</f>
        <v>130.91058451797062</v>
      </c>
      <c r="DO134">
        <f>$AW57-SUM($BE57:DO57)</f>
        <v>120.49866791640505</v>
      </c>
      <c r="DP134">
        <f>$AW57-SUM($BE57:DP57)</f>
        <v>111.12475542668966</v>
      </c>
      <c r="DQ134">
        <f>$AW57-SUM($BE57:DQ57)</f>
        <v>102.66619268011044</v>
      </c>
      <c r="DR134">
        <f>$AW57-SUM($BE57:DR57)</f>
        <v>95.016567450267928</v>
      </c>
      <c r="DS134">
        <f>$AW57-SUM($BE57:DS57)</f>
        <v>88.083468746228789</v>
      </c>
      <c r="DT134">
        <f>$AW57-SUM($BE57:DT57)</f>
        <v>81.786521961784786</v>
      </c>
      <c r="DU134">
        <f>$AW57-SUM($BE57:DU57)</f>
        <v>76.055689505109399</v>
      </c>
      <c r="DV134">
        <f>$AW57-SUM($BE57:DV57)</f>
        <v>70.829812811236707</v>
      </c>
      <c r="DW134" s="4">
        <f>$AW57-SUM($BE57:DW57)</f>
        <v>66.055367128774435</v>
      </c>
    </row>
    <row r="135" spans="4:127" x14ac:dyDescent="0.25">
      <c r="D135"/>
      <c r="BD135">
        <v>2038</v>
      </c>
      <c r="BE135">
        <f>$AW58-SUM($BE58:BE58)</f>
        <v>469.25944942847997</v>
      </c>
      <c r="BF135">
        <f>$AW58-SUM($BE58:BF58)</f>
        <v>469.25944942847997</v>
      </c>
      <c r="BG135">
        <f>$AW58-SUM($BE58:BG58)</f>
        <v>469.25944942847997</v>
      </c>
      <c r="BH135">
        <f>$AW58-SUM($BE58:BH58)</f>
        <v>469.25944942847997</v>
      </c>
      <c r="BI135">
        <f>$AW58-SUM($BE58:BI58)</f>
        <v>469.25944942847997</v>
      </c>
      <c r="BJ135">
        <f>$AW58-SUM($BE58:BJ58)</f>
        <v>469.25944942847997</v>
      </c>
      <c r="BK135">
        <f>$AW58-SUM($BE58:BK58)</f>
        <v>469.25944942847997</v>
      </c>
      <c r="BL135">
        <f>$AW58-SUM($BE58:BL58)</f>
        <v>469.25944942847997</v>
      </c>
      <c r="BM135">
        <f>$AW58-SUM($BE58:BM58)</f>
        <v>469.25944942847997</v>
      </c>
      <c r="BN135">
        <f>$AW58-SUM($BE58:BN58)</f>
        <v>469.25944942847997</v>
      </c>
      <c r="BO135">
        <f>$AW58-SUM($BE58:BO58)</f>
        <v>469.25944942847997</v>
      </c>
      <c r="BP135">
        <f>$AW58-SUM($BE58:BP58)</f>
        <v>469.25944942847997</v>
      </c>
      <c r="BQ135">
        <f>$AW58-SUM($BE58:BQ58)</f>
        <v>469.25944942847997</v>
      </c>
      <c r="BR135">
        <f>$AW58-SUM($BE58:BR58)</f>
        <v>469.25944942847997</v>
      </c>
      <c r="BS135">
        <f>$AW58-SUM($BE58:BS58)</f>
        <v>469.25944942847997</v>
      </c>
      <c r="BT135">
        <f>$AW58-SUM($BE58:BT58)</f>
        <v>469.25944942847997</v>
      </c>
      <c r="BU135">
        <f>$AW58-SUM($BE58:BU58)</f>
        <v>469.25944942847997</v>
      </c>
      <c r="BV135">
        <f>$AW58-SUM($BE58:BV58)</f>
        <v>469.25944942847997</v>
      </c>
      <c r="BW135">
        <f>$AW58-SUM($BE58:BW58)</f>
        <v>469.25944942847997</v>
      </c>
      <c r="BX135">
        <f>$AW58-SUM($BE58:BX58)</f>
        <v>469.25944942847997</v>
      </c>
      <c r="BY135">
        <f>$AW58-SUM($BE58:BY58)</f>
        <v>469.25944942847997</v>
      </c>
      <c r="BZ135">
        <f>$AW58-SUM($BE58:BZ58)</f>
        <v>469.25944942847997</v>
      </c>
      <c r="CA135">
        <f>$AW58-SUM($BE58:CA58)</f>
        <v>469.25944942847997</v>
      </c>
      <c r="CB135">
        <f>$AW58-SUM($BE58:CB58)</f>
        <v>469.25944942847997</v>
      </c>
      <c r="CC135">
        <f>$AW58-SUM($BE58:CC58)</f>
        <v>469.25944942847997</v>
      </c>
      <c r="CD135">
        <f>$AW58-SUM($BE58:CD58)</f>
        <v>469.25944942847997</v>
      </c>
      <c r="CE135">
        <f>$AW58-SUM($BE58:CE58)</f>
        <v>469.25944942847997</v>
      </c>
      <c r="CF135">
        <f>$AW58-SUM($BE58:CF58)</f>
        <v>469.25944942847997</v>
      </c>
      <c r="CG135">
        <f>$AW58-SUM($BE58:CG58)</f>
        <v>469.25944942847997</v>
      </c>
      <c r="CH135">
        <f>$AW58-SUM($BE58:CH58)</f>
        <v>469.25944942847997</v>
      </c>
      <c r="CI135">
        <f>$AW58-SUM($BE58:CI58)</f>
        <v>469.25944942847997</v>
      </c>
      <c r="CJ135">
        <f>$AW58-SUM($BE58:CJ58)</f>
        <v>469.25944942847997</v>
      </c>
      <c r="CK135">
        <f>$AW58-SUM($BE58:CK58)</f>
        <v>469.25944942847997</v>
      </c>
      <c r="CL135">
        <f>$AW58-SUM($BE58:CL58)</f>
        <v>469.25944942847997</v>
      </c>
      <c r="CM135">
        <f>$AW58-SUM($BE58:CM58)</f>
        <v>469.25944942847997</v>
      </c>
      <c r="CN135">
        <f>$AW58-SUM($BE58:CN58)</f>
        <v>469.25944942847997</v>
      </c>
      <c r="CO135">
        <f>$AW58-SUM($BE58:CO58)</f>
        <v>469.25944942847997</v>
      </c>
      <c r="CP135">
        <f>$AW58-SUM($BE58:CP58)</f>
        <v>469.25944942847997</v>
      </c>
      <c r="CQ135">
        <f>$AW58-SUM($BE58:CQ58)</f>
        <v>469.25944942847997</v>
      </c>
      <c r="CR135">
        <f>$AW58-SUM($BE58:CR58)</f>
        <v>469.25944942847997</v>
      </c>
      <c r="CS135">
        <f>$AW58-SUM($BE58:CS58)</f>
        <v>469.25944942847997</v>
      </c>
      <c r="CT135">
        <f>$AW58-SUM($BE58:CT58)</f>
        <v>469.25944942847997</v>
      </c>
      <c r="CU135">
        <f>$AW58-SUM($BE58:CU58)</f>
        <v>469.25944942847997</v>
      </c>
      <c r="CV135">
        <f>$AW58-SUM($BE58:CV58)</f>
        <v>469.25944942847997</v>
      </c>
      <c r="CW135">
        <f>$AW58-SUM($BE58:CW58)</f>
        <v>469.25944942847997</v>
      </c>
      <c r="CX135">
        <f>$AW58-SUM($BE58:CX58)</f>
        <v>469.25944942847997</v>
      </c>
      <c r="CY135">
        <f>$AW58-SUM($BE58:CY58)</f>
        <v>469.25944942847997</v>
      </c>
      <c r="CZ135">
        <f>$AW58-SUM($BE58:CZ58)</f>
        <v>469.25944942847997</v>
      </c>
      <c r="DA135">
        <f>$AW58-SUM($BE58:DA58)</f>
        <v>463.55195217476432</v>
      </c>
      <c r="DB135">
        <f>$AW58-SUM($BE58:DB58)</f>
        <v>439.49000294087102</v>
      </c>
      <c r="DC135">
        <f>$AW58-SUM($BE58:DC58)</f>
        <v>405.81992085883803</v>
      </c>
      <c r="DD135">
        <f>$AW58-SUM($BE58:DD58)</f>
        <v>369.99485411343119</v>
      </c>
      <c r="DE135">
        <f>$AW58-SUM($BE58:DE58)</f>
        <v>335.44456368372801</v>
      </c>
      <c r="DF135">
        <f>$AW58-SUM($BE58:DF58)</f>
        <v>303.5290554977696</v>
      </c>
      <c r="DG135">
        <f>$AW58-SUM($BE58:DG58)</f>
        <v>274.65121963660556</v>
      </c>
      <c r="DH135">
        <f>$AW58-SUM($BE58:DH58)</f>
        <v>248.78554673525073</v>
      </c>
      <c r="DI135">
        <f>$AW58-SUM($BE58:DI58)</f>
        <v>225.72592303946635</v>
      </c>
      <c r="DJ135">
        <f>$AW58-SUM($BE58:DJ58)</f>
        <v>205.20217958777494</v>
      </c>
      <c r="DK135">
        <f>$AW58-SUM($BE58:DK58)</f>
        <v>186.93443468910743</v>
      </c>
      <c r="DL135">
        <f>$AW58-SUM($BE58:DL58)</f>
        <v>170.6574274942032</v>
      </c>
      <c r="DM135">
        <f>$AW58-SUM($BE58:DM58)</f>
        <v>156.13023535714973</v>
      </c>
      <c r="DN135">
        <f>$AW58-SUM($BE58:DN58)</f>
        <v>143.13890926849643</v>
      </c>
      <c r="DO135">
        <f>$AW58-SUM($BE58:DO58)</f>
        <v>131.4957800316983</v>
      </c>
      <c r="DP135">
        <f>$AW58-SUM($BE58:DP58)</f>
        <v>121.0373201585785</v>
      </c>
      <c r="DQ135">
        <f>$AW58-SUM($BE58:DQ58)</f>
        <v>111.62150447550971</v>
      </c>
      <c r="DR135">
        <f>$AW58-SUM($BE58:DR58)</f>
        <v>103.12513032513829</v>
      </c>
      <c r="DS135">
        <f>$AW58-SUM($BE58:DS58)</f>
        <v>95.441309797927829</v>
      </c>
      <c r="DT135">
        <f>$AW58-SUM($BE58:DT58)</f>
        <v>88.477218808025953</v>
      </c>
      <c r="DU135">
        <f>$AW58-SUM($BE58:DU58)</f>
        <v>82.152123459262214</v>
      </c>
      <c r="DV135">
        <f>$AW58-SUM($BE58:DV58)</f>
        <v>76.39567307829202</v>
      </c>
      <c r="DW135" s="4">
        <f>$AW58-SUM($BE58:DW58)</f>
        <v>71.146435709590719</v>
      </c>
    </row>
    <row r="136" spans="4:127" x14ac:dyDescent="0.25">
      <c r="D136"/>
      <c r="BD136">
        <v>2039</v>
      </c>
      <c r="BE136">
        <f>$AW59-SUM($BE59:BE59)</f>
        <v>471.29902230528</v>
      </c>
      <c r="BF136">
        <f>$AW59-SUM($BE59:BF59)</f>
        <v>471.29902230528</v>
      </c>
      <c r="BG136">
        <f>$AW59-SUM($BE59:BG59)</f>
        <v>471.29902230528</v>
      </c>
      <c r="BH136">
        <f>$AW59-SUM($BE59:BH59)</f>
        <v>471.29902230528</v>
      </c>
      <c r="BI136">
        <f>$AW59-SUM($BE59:BI59)</f>
        <v>471.29902230528</v>
      </c>
      <c r="BJ136">
        <f>$AW59-SUM($BE59:BJ59)</f>
        <v>471.29902230528</v>
      </c>
      <c r="BK136">
        <f>$AW59-SUM($BE59:BK59)</f>
        <v>471.29902230528</v>
      </c>
      <c r="BL136">
        <f>$AW59-SUM($BE59:BL59)</f>
        <v>471.29902230528</v>
      </c>
      <c r="BM136">
        <f>$AW59-SUM($BE59:BM59)</f>
        <v>471.29902230528</v>
      </c>
      <c r="BN136">
        <f>$AW59-SUM($BE59:BN59)</f>
        <v>471.29902230528</v>
      </c>
      <c r="BO136">
        <f>$AW59-SUM($BE59:BO59)</f>
        <v>471.29902230528</v>
      </c>
      <c r="BP136">
        <f>$AW59-SUM($BE59:BP59)</f>
        <v>471.29902230528</v>
      </c>
      <c r="BQ136">
        <f>$AW59-SUM($BE59:BQ59)</f>
        <v>471.29902230528</v>
      </c>
      <c r="BR136">
        <f>$AW59-SUM($BE59:BR59)</f>
        <v>471.29902230528</v>
      </c>
      <c r="BS136">
        <f>$AW59-SUM($BE59:BS59)</f>
        <v>471.29902230528</v>
      </c>
      <c r="BT136">
        <f>$AW59-SUM($BE59:BT59)</f>
        <v>471.29902230528</v>
      </c>
      <c r="BU136">
        <f>$AW59-SUM($BE59:BU59)</f>
        <v>471.29902230528</v>
      </c>
      <c r="BV136">
        <f>$AW59-SUM($BE59:BV59)</f>
        <v>471.29902230528</v>
      </c>
      <c r="BW136">
        <f>$AW59-SUM($BE59:BW59)</f>
        <v>471.29902230528</v>
      </c>
      <c r="BX136">
        <f>$AW59-SUM($BE59:BX59)</f>
        <v>471.29902230528</v>
      </c>
      <c r="BY136">
        <f>$AW59-SUM($BE59:BY59)</f>
        <v>471.29902230528</v>
      </c>
      <c r="BZ136">
        <f>$AW59-SUM($BE59:BZ59)</f>
        <v>471.29902230528</v>
      </c>
      <c r="CA136">
        <f>$AW59-SUM($BE59:CA59)</f>
        <v>471.29902230528</v>
      </c>
      <c r="CB136">
        <f>$AW59-SUM($BE59:CB59)</f>
        <v>471.29902230528</v>
      </c>
      <c r="CC136">
        <f>$AW59-SUM($BE59:CC59)</f>
        <v>471.29902230528</v>
      </c>
      <c r="CD136">
        <f>$AW59-SUM($BE59:CD59)</f>
        <v>471.29902230528</v>
      </c>
      <c r="CE136">
        <f>$AW59-SUM($BE59:CE59)</f>
        <v>471.29902230528</v>
      </c>
      <c r="CF136">
        <f>$AW59-SUM($BE59:CF59)</f>
        <v>471.29902230528</v>
      </c>
      <c r="CG136">
        <f>$AW59-SUM($BE59:CG59)</f>
        <v>471.29902230528</v>
      </c>
      <c r="CH136">
        <f>$AW59-SUM($BE59:CH59)</f>
        <v>471.29902230528</v>
      </c>
      <c r="CI136">
        <f>$AW59-SUM($BE59:CI59)</f>
        <v>471.29902230528</v>
      </c>
      <c r="CJ136">
        <f>$AW59-SUM($BE59:CJ59)</f>
        <v>471.29902230528</v>
      </c>
      <c r="CK136">
        <f>$AW59-SUM($BE59:CK59)</f>
        <v>471.29902230528</v>
      </c>
      <c r="CL136">
        <f>$AW59-SUM($BE59:CL59)</f>
        <v>471.29902230528</v>
      </c>
      <c r="CM136">
        <f>$AW59-SUM($BE59:CM59)</f>
        <v>471.29902230528</v>
      </c>
      <c r="CN136">
        <f>$AW59-SUM($BE59:CN59)</f>
        <v>471.29902230528</v>
      </c>
      <c r="CO136">
        <f>$AW59-SUM($BE59:CO59)</f>
        <v>471.29902230528</v>
      </c>
      <c r="CP136">
        <f>$AW59-SUM($BE59:CP59)</f>
        <v>471.29902230528</v>
      </c>
      <c r="CQ136">
        <f>$AW59-SUM($BE59:CQ59)</f>
        <v>471.29902230528</v>
      </c>
      <c r="CR136">
        <f>$AW59-SUM($BE59:CR59)</f>
        <v>471.29902230528</v>
      </c>
      <c r="CS136">
        <f>$AW59-SUM($BE59:CS59)</f>
        <v>471.29902230528</v>
      </c>
      <c r="CT136">
        <f>$AW59-SUM($BE59:CT59)</f>
        <v>471.29902230528</v>
      </c>
      <c r="CU136">
        <f>$AW59-SUM($BE59:CU59)</f>
        <v>471.29902230528</v>
      </c>
      <c r="CV136">
        <f>$AW59-SUM($BE59:CV59)</f>
        <v>471.29902230528</v>
      </c>
      <c r="CW136">
        <f>$AW59-SUM($BE59:CW59)</f>
        <v>471.29902230528</v>
      </c>
      <c r="CX136">
        <f>$AW59-SUM($BE59:CX59)</f>
        <v>471.29902230528</v>
      </c>
      <c r="CY136">
        <f>$AW59-SUM($BE59:CY59)</f>
        <v>471.29902230528</v>
      </c>
      <c r="CZ136">
        <f>$AW59-SUM($BE59:CZ59)</f>
        <v>471.29902230528</v>
      </c>
      <c r="DA136">
        <f>$AW59-SUM($BE59:DA59)</f>
        <v>471.29902230528</v>
      </c>
      <c r="DB136">
        <f>$AW59-SUM($BE59:DB59)</f>
        <v>465.56671818489968</v>
      </c>
      <c r="DC136">
        <f>$AW59-SUM($BE59:DC59)</f>
        <v>441.40018693549212</v>
      </c>
      <c r="DD136">
        <f>$AW59-SUM($BE59:DD59)</f>
        <v>407.58376238500631</v>
      </c>
      <c r="DE136">
        <f>$AW59-SUM($BE59:DE59)</f>
        <v>371.60298682109311</v>
      </c>
      <c r="DF136">
        <f>$AW59-SUM($BE59:DF59)</f>
        <v>336.90252821612609</v>
      </c>
      <c r="DG136">
        <f>$AW59-SUM($BE59:DG59)</f>
        <v>304.84830358039846</v>
      </c>
      <c r="DH136">
        <f>$AW59-SUM($BE59:DH59)</f>
        <v>275.84495410233262</v>
      </c>
      <c r="DI136">
        <f>$AW59-SUM($BE59:DI59)</f>
        <v>249.86685954393064</v>
      </c>
      <c r="DJ136">
        <f>$AW59-SUM($BE59:DJ59)</f>
        <v>226.70701030533317</v>
      </c>
      <c r="DK136">
        <f>$AW59-SUM($BE59:DK59)</f>
        <v>206.09406317212728</v>
      </c>
      <c r="DL136">
        <f>$AW59-SUM($BE59:DL59)</f>
        <v>187.74691998523991</v>
      </c>
      <c r="DM136">
        <f>$AW59-SUM($BE59:DM59)</f>
        <v>171.39916697492242</v>
      </c>
      <c r="DN136">
        <f>$AW59-SUM($BE59:DN59)</f>
        <v>156.80883435749104</v>
      </c>
      <c r="DO136">
        <f>$AW59-SUM($BE59:DO59)</f>
        <v>143.76104322299511</v>
      </c>
      <c r="DP136">
        <f>$AW59-SUM($BE59:DP59)</f>
        <v>132.06730869605019</v>
      </c>
      <c r="DQ136">
        <f>$AW59-SUM($BE59:DQ59)</f>
        <v>121.56339253831788</v>
      </c>
      <c r="DR136">
        <f>$AW59-SUM($BE59:DR59)</f>
        <v>112.10665228291811</v>
      </c>
      <c r="DS136">
        <f>$AW59-SUM($BE59:DS59)</f>
        <v>103.57334978877151</v>
      </c>
      <c r="DT136">
        <f>$AW59-SUM($BE59:DT59)</f>
        <v>95.856132572465981</v>
      </c>
      <c r="DU136">
        <f>$AW59-SUM($BE59:DU59)</f>
        <v>88.861773100785285</v>
      </c>
      <c r="DV136">
        <f>$AW59-SUM($BE59:DV59)</f>
        <v>82.509186578573178</v>
      </c>
      <c r="DW136" s="4">
        <f>$AW59-SUM($BE59:DW59)</f>
        <v>76.727716562776322</v>
      </c>
    </row>
    <row r="137" spans="4:127" x14ac:dyDescent="0.25">
      <c r="D137"/>
      <c r="BD137">
        <v>2040</v>
      </c>
      <c r="BE137">
        <f>$AW60-SUM($BE60:BE60)</f>
        <v>473.29246140672001</v>
      </c>
      <c r="BF137">
        <f>$AW60-SUM($BE60:BF60)</f>
        <v>473.29246140672001</v>
      </c>
      <c r="BG137">
        <f>$AW60-SUM($BE60:BG60)</f>
        <v>473.29246140672001</v>
      </c>
      <c r="BH137">
        <f>$AW60-SUM($BE60:BH60)</f>
        <v>473.29246140672001</v>
      </c>
      <c r="BI137">
        <f>$AW60-SUM($BE60:BI60)</f>
        <v>473.29246140672001</v>
      </c>
      <c r="BJ137">
        <f>$AW60-SUM($BE60:BJ60)</f>
        <v>473.29246140672001</v>
      </c>
      <c r="BK137">
        <f>$AW60-SUM($BE60:BK60)</f>
        <v>473.29246140672001</v>
      </c>
      <c r="BL137">
        <f>$AW60-SUM($BE60:BL60)</f>
        <v>473.29246140672001</v>
      </c>
      <c r="BM137">
        <f>$AW60-SUM($BE60:BM60)</f>
        <v>473.29246140672001</v>
      </c>
      <c r="BN137">
        <f>$AW60-SUM($BE60:BN60)</f>
        <v>473.29246140672001</v>
      </c>
      <c r="BO137">
        <f>$AW60-SUM($BE60:BO60)</f>
        <v>473.29246140672001</v>
      </c>
      <c r="BP137">
        <f>$AW60-SUM($BE60:BP60)</f>
        <v>473.29246140672001</v>
      </c>
      <c r="BQ137">
        <f>$AW60-SUM($BE60:BQ60)</f>
        <v>473.29246140672001</v>
      </c>
      <c r="BR137">
        <f>$AW60-SUM($BE60:BR60)</f>
        <v>473.29246140672001</v>
      </c>
      <c r="BS137">
        <f>$AW60-SUM($BE60:BS60)</f>
        <v>473.29246140672001</v>
      </c>
      <c r="BT137">
        <f>$AW60-SUM($BE60:BT60)</f>
        <v>473.29246140672001</v>
      </c>
      <c r="BU137">
        <f>$AW60-SUM($BE60:BU60)</f>
        <v>473.29246140672001</v>
      </c>
      <c r="BV137">
        <f>$AW60-SUM($BE60:BV60)</f>
        <v>473.29246140672001</v>
      </c>
      <c r="BW137">
        <f>$AW60-SUM($BE60:BW60)</f>
        <v>473.29246140672001</v>
      </c>
      <c r="BX137">
        <f>$AW60-SUM($BE60:BX60)</f>
        <v>473.29246140672001</v>
      </c>
      <c r="BY137">
        <f>$AW60-SUM($BE60:BY60)</f>
        <v>473.29246140672001</v>
      </c>
      <c r="BZ137">
        <f>$AW60-SUM($BE60:BZ60)</f>
        <v>473.29246140672001</v>
      </c>
      <c r="CA137">
        <f>$AW60-SUM($BE60:CA60)</f>
        <v>473.29246140672001</v>
      </c>
      <c r="CB137">
        <f>$AW60-SUM($BE60:CB60)</f>
        <v>473.29246140672001</v>
      </c>
      <c r="CC137">
        <f>$AW60-SUM($BE60:CC60)</f>
        <v>473.29246140672001</v>
      </c>
      <c r="CD137">
        <f>$AW60-SUM($BE60:CD60)</f>
        <v>473.29246140672001</v>
      </c>
      <c r="CE137">
        <f>$AW60-SUM($BE60:CE60)</f>
        <v>473.29246140672001</v>
      </c>
      <c r="CF137">
        <f>$AW60-SUM($BE60:CF60)</f>
        <v>473.29246140672001</v>
      </c>
      <c r="CG137">
        <f>$AW60-SUM($BE60:CG60)</f>
        <v>473.29246140672001</v>
      </c>
      <c r="CH137">
        <f>$AW60-SUM($BE60:CH60)</f>
        <v>473.29246140672001</v>
      </c>
      <c r="CI137">
        <f>$AW60-SUM($BE60:CI60)</f>
        <v>473.29246140672001</v>
      </c>
      <c r="CJ137">
        <f>$AW60-SUM($BE60:CJ60)</f>
        <v>473.29246140672001</v>
      </c>
      <c r="CK137">
        <f>$AW60-SUM($BE60:CK60)</f>
        <v>473.29246140672001</v>
      </c>
      <c r="CL137">
        <f>$AW60-SUM($BE60:CL60)</f>
        <v>473.29246140672001</v>
      </c>
      <c r="CM137">
        <f>$AW60-SUM($BE60:CM60)</f>
        <v>473.29246140672001</v>
      </c>
      <c r="CN137">
        <f>$AW60-SUM($BE60:CN60)</f>
        <v>473.29246140672001</v>
      </c>
      <c r="CO137">
        <f>$AW60-SUM($BE60:CO60)</f>
        <v>473.29246140672001</v>
      </c>
      <c r="CP137">
        <f>$AW60-SUM($BE60:CP60)</f>
        <v>473.29246140672001</v>
      </c>
      <c r="CQ137">
        <f>$AW60-SUM($BE60:CQ60)</f>
        <v>473.29246140672001</v>
      </c>
      <c r="CR137">
        <f>$AW60-SUM($BE60:CR60)</f>
        <v>473.29246140672001</v>
      </c>
      <c r="CS137">
        <f>$AW60-SUM($BE60:CS60)</f>
        <v>473.29246140672001</v>
      </c>
      <c r="CT137">
        <f>$AW60-SUM($BE60:CT60)</f>
        <v>473.29246140672001</v>
      </c>
      <c r="CU137">
        <f>$AW60-SUM($BE60:CU60)</f>
        <v>473.29246140672001</v>
      </c>
      <c r="CV137">
        <f>$AW60-SUM($BE60:CV60)</f>
        <v>473.29246140672001</v>
      </c>
      <c r="CW137">
        <f>$AW60-SUM($BE60:CW60)</f>
        <v>473.29246140672001</v>
      </c>
      <c r="CX137">
        <f>$AW60-SUM($BE60:CX60)</f>
        <v>473.29246140672001</v>
      </c>
      <c r="CY137">
        <f>$AW60-SUM($BE60:CY60)</f>
        <v>473.29246140672001</v>
      </c>
      <c r="CZ137">
        <f>$AW60-SUM($BE60:CZ60)</f>
        <v>473.29246140672001</v>
      </c>
      <c r="DA137">
        <f>$AW60-SUM($BE60:DA60)</f>
        <v>473.29246140672001</v>
      </c>
      <c r="DB137">
        <f>$AW60-SUM($BE60:DB60)</f>
        <v>473.29246140672001</v>
      </c>
      <c r="DC137">
        <f>$AW60-SUM($BE60:DC60)</f>
        <v>467.53591153441982</v>
      </c>
      <c r="DD137">
        <f>$AW60-SUM($BE60:DD60)</f>
        <v>443.26716384479317</v>
      </c>
      <c r="DE137">
        <f>$AW60-SUM($BE60:DE60)</f>
        <v>409.30770699468559</v>
      </c>
      <c r="DF137">
        <f>$AW60-SUM($BE60:DF60)</f>
        <v>373.17474464167526</v>
      </c>
      <c r="DG137">
        <f>$AW60-SUM($BE60:DG60)</f>
        <v>338.32751456520657</v>
      </c>
      <c r="DH137">
        <f>$AW60-SUM($BE60:DH60)</f>
        <v>306.13771115309481</v>
      </c>
      <c r="DI137">
        <f>$AW60-SUM($BE60:DI60)</f>
        <v>277.01168709225664</v>
      </c>
      <c r="DJ137">
        <f>$AW60-SUM($BE60:DJ60)</f>
        <v>250.92371377955487</v>
      </c>
      <c r="DK137">
        <f>$AW60-SUM($BE60:DK60)</f>
        <v>227.66590603293875</v>
      </c>
      <c r="DL137">
        <f>$AW60-SUM($BE60:DL60)</f>
        <v>206.96577294587655</v>
      </c>
      <c r="DM137">
        <f>$AW60-SUM($BE60:DM60)</f>
        <v>188.54102740698437</v>
      </c>
      <c r="DN137">
        <f>$AW60-SUM($BE60:DN60)</f>
        <v>172.12412880431646</v>
      </c>
      <c r="DO137">
        <f>$AW60-SUM($BE60:DO60)</f>
        <v>157.47208390197443</v>
      </c>
      <c r="DP137">
        <f>$AW60-SUM($BE60:DP60)</f>
        <v>144.36910492323534</v>
      </c>
      <c r="DQ137">
        <f>$AW60-SUM($BE60:DQ60)</f>
        <v>132.62590976398559</v>
      </c>
      <c r="DR137">
        <f>$AW60-SUM($BE60:DR60)</f>
        <v>122.0775655124188</v>
      </c>
      <c r="DS137">
        <f>$AW60-SUM($BE60:DS60)</f>
        <v>112.58082637116297</v>
      </c>
      <c r="DT137">
        <f>$AW60-SUM($BE60:DT60)</f>
        <v>104.01143082769698</v>
      </c>
      <c r="DU137">
        <f>$AW60-SUM($BE60:DU60)</f>
        <v>96.261572333083564</v>
      </c>
      <c r="DV137">
        <f>$AW60-SUM($BE60:DV60)</f>
        <v>89.237629032452446</v>
      </c>
      <c r="DW137" s="4">
        <f>$AW60-SUM($BE60:DW60)</f>
        <v>82.858173168762164</v>
      </c>
    </row>
    <row r="138" spans="4:127" x14ac:dyDescent="0.25">
      <c r="D138"/>
      <c r="BD138">
        <v>2041</v>
      </c>
      <c r="BE138">
        <f>$AW61-SUM($BE61:BE61)</f>
        <v>475.24320781248002</v>
      </c>
      <c r="BF138">
        <f>$AW61-SUM($BE61:BF61)</f>
        <v>475.24320781248002</v>
      </c>
      <c r="BG138">
        <f>$AW61-SUM($BE61:BG61)</f>
        <v>475.24320781248002</v>
      </c>
      <c r="BH138">
        <f>$AW61-SUM($BE61:BH61)</f>
        <v>475.24320781248002</v>
      </c>
      <c r="BI138">
        <f>$AW61-SUM($BE61:BI61)</f>
        <v>475.24320781248002</v>
      </c>
      <c r="BJ138">
        <f>$AW61-SUM($BE61:BJ61)</f>
        <v>475.24320781248002</v>
      </c>
      <c r="BK138">
        <f>$AW61-SUM($BE61:BK61)</f>
        <v>475.24320781248002</v>
      </c>
      <c r="BL138">
        <f>$AW61-SUM($BE61:BL61)</f>
        <v>475.24320781248002</v>
      </c>
      <c r="BM138">
        <f>$AW61-SUM($BE61:BM61)</f>
        <v>475.24320781248002</v>
      </c>
      <c r="BN138">
        <f>$AW61-SUM($BE61:BN61)</f>
        <v>475.24320781248002</v>
      </c>
      <c r="BO138">
        <f>$AW61-SUM($BE61:BO61)</f>
        <v>475.24320781248002</v>
      </c>
      <c r="BP138">
        <f>$AW61-SUM($BE61:BP61)</f>
        <v>475.24320781248002</v>
      </c>
      <c r="BQ138">
        <f>$AW61-SUM($BE61:BQ61)</f>
        <v>475.24320781248002</v>
      </c>
      <c r="BR138">
        <f>$AW61-SUM($BE61:BR61)</f>
        <v>475.24320781248002</v>
      </c>
      <c r="BS138">
        <f>$AW61-SUM($BE61:BS61)</f>
        <v>475.24320781248002</v>
      </c>
      <c r="BT138">
        <f>$AW61-SUM($BE61:BT61)</f>
        <v>475.24320781248002</v>
      </c>
      <c r="BU138">
        <f>$AW61-SUM($BE61:BU61)</f>
        <v>475.24320781248002</v>
      </c>
      <c r="BV138">
        <f>$AW61-SUM($BE61:BV61)</f>
        <v>475.24320781248002</v>
      </c>
      <c r="BW138">
        <f>$AW61-SUM($BE61:BW61)</f>
        <v>475.24320781248002</v>
      </c>
      <c r="BX138">
        <f>$AW61-SUM($BE61:BX61)</f>
        <v>475.24320781248002</v>
      </c>
      <c r="BY138">
        <f>$AW61-SUM($BE61:BY61)</f>
        <v>475.24320781248002</v>
      </c>
      <c r="BZ138">
        <f>$AW61-SUM($BE61:BZ61)</f>
        <v>475.24320781248002</v>
      </c>
      <c r="CA138">
        <f>$AW61-SUM($BE61:CA61)</f>
        <v>475.24320781248002</v>
      </c>
      <c r="CB138">
        <f>$AW61-SUM($BE61:CB61)</f>
        <v>475.24320781248002</v>
      </c>
      <c r="CC138">
        <f>$AW61-SUM($BE61:CC61)</f>
        <v>475.24320781248002</v>
      </c>
      <c r="CD138">
        <f>$AW61-SUM($BE61:CD61)</f>
        <v>475.24320781248002</v>
      </c>
      <c r="CE138">
        <f>$AW61-SUM($BE61:CE61)</f>
        <v>475.24320781248002</v>
      </c>
      <c r="CF138">
        <f>$AW61-SUM($BE61:CF61)</f>
        <v>475.24320781248002</v>
      </c>
      <c r="CG138">
        <f>$AW61-SUM($BE61:CG61)</f>
        <v>475.24320781248002</v>
      </c>
      <c r="CH138">
        <f>$AW61-SUM($BE61:CH61)</f>
        <v>475.24320781248002</v>
      </c>
      <c r="CI138">
        <f>$AW61-SUM($BE61:CI61)</f>
        <v>475.24320781248002</v>
      </c>
      <c r="CJ138">
        <f>$AW61-SUM($BE61:CJ61)</f>
        <v>475.24320781248002</v>
      </c>
      <c r="CK138">
        <f>$AW61-SUM($BE61:CK61)</f>
        <v>475.24320781248002</v>
      </c>
      <c r="CL138">
        <f>$AW61-SUM($BE61:CL61)</f>
        <v>475.24320781248002</v>
      </c>
      <c r="CM138">
        <f>$AW61-SUM($BE61:CM61)</f>
        <v>475.24320781248002</v>
      </c>
      <c r="CN138">
        <f>$AW61-SUM($BE61:CN61)</f>
        <v>475.24320781248002</v>
      </c>
      <c r="CO138">
        <f>$AW61-SUM($BE61:CO61)</f>
        <v>475.24320781248002</v>
      </c>
      <c r="CP138">
        <f>$AW61-SUM($BE61:CP61)</f>
        <v>475.24320781248002</v>
      </c>
      <c r="CQ138">
        <f>$AW61-SUM($BE61:CQ61)</f>
        <v>475.24320781248002</v>
      </c>
      <c r="CR138">
        <f>$AW61-SUM($BE61:CR61)</f>
        <v>475.24320781248002</v>
      </c>
      <c r="CS138">
        <f>$AW61-SUM($BE61:CS61)</f>
        <v>475.24320781248002</v>
      </c>
      <c r="CT138">
        <f>$AW61-SUM($BE61:CT61)</f>
        <v>475.24320781248002</v>
      </c>
      <c r="CU138">
        <f>$AW61-SUM($BE61:CU61)</f>
        <v>475.24320781248002</v>
      </c>
      <c r="CV138">
        <f>$AW61-SUM($BE61:CV61)</f>
        <v>475.24320781248002</v>
      </c>
      <c r="CW138">
        <f>$AW61-SUM($BE61:CW61)</f>
        <v>475.24320781248002</v>
      </c>
      <c r="CX138">
        <f>$AW61-SUM($BE61:CX61)</f>
        <v>475.24320781248002</v>
      </c>
      <c r="CY138">
        <f>$AW61-SUM($BE61:CY61)</f>
        <v>475.24320781248002</v>
      </c>
      <c r="CZ138">
        <f>$AW61-SUM($BE61:CZ61)</f>
        <v>475.24320781248002</v>
      </c>
      <c r="DA138">
        <f>$AW61-SUM($BE61:DA61)</f>
        <v>475.24320781248002</v>
      </c>
      <c r="DB138">
        <f>$AW61-SUM($BE61:DB61)</f>
        <v>475.24320781248002</v>
      </c>
      <c r="DC138">
        <f>$AW61-SUM($BE61:DC61)</f>
        <v>475.24320781248002</v>
      </c>
      <c r="DD138">
        <f>$AW61-SUM($BE61:DD61)</f>
        <v>469.46293144992558</v>
      </c>
      <c r="DE138">
        <f>$AW61-SUM($BE61:DE61)</f>
        <v>445.09415644909456</v>
      </c>
      <c r="DF138">
        <f>$AW61-SUM($BE61:DF61)</f>
        <v>410.99473056547436</v>
      </c>
      <c r="DG138">
        <f>$AW61-SUM($BE61:DG61)</f>
        <v>374.7128407475513</v>
      </c>
      <c r="DH138">
        <f>$AW61-SUM($BE61:DH61)</f>
        <v>339.72198254605331</v>
      </c>
      <c r="DI138">
        <f>$AW61-SUM($BE61:DI61)</f>
        <v>307.39950399451152</v>
      </c>
      <c r="DJ138">
        <f>$AW61-SUM($BE61:DJ61)</f>
        <v>278.1534326238517</v>
      </c>
      <c r="DK138">
        <f>$AW61-SUM($BE61:DK61)</f>
        <v>251.95793378661048</v>
      </c>
      <c r="DL138">
        <f>$AW61-SUM($BE61:DL61)</f>
        <v>228.6042654705428</v>
      </c>
      <c r="DM138">
        <f>$AW61-SUM($BE61:DM61)</f>
        <v>207.81881365666561</v>
      </c>
      <c r="DN138">
        <f>$AW61-SUM($BE61:DN61)</f>
        <v>189.31812774460496</v>
      </c>
      <c r="DO138">
        <f>$AW61-SUM($BE61:DO61)</f>
        <v>172.8335644133511</v>
      </c>
      <c r="DP138">
        <f>$AW61-SUM($BE61:DP61)</f>
        <v>158.12112889366159</v>
      </c>
      <c r="DQ138">
        <f>$AW61-SUM($BE61:DQ61)</f>
        <v>144.96414400688087</v>
      </c>
      <c r="DR138">
        <f>$AW61-SUM($BE61:DR61)</f>
        <v>133.17254749409813</v>
      </c>
      <c r="DS138">
        <f>$AW61-SUM($BE61:DS61)</f>
        <v>122.58072664758561</v>
      </c>
      <c r="DT138">
        <f>$AW61-SUM($BE61:DT61)</f>
        <v>113.04484526076942</v>
      </c>
      <c r="DU138">
        <f>$AW61-SUM($BE61:DU61)</f>
        <v>104.44012965852568</v>
      </c>
      <c r="DV138">
        <f>$AW61-SUM($BE61:DV61)</f>
        <v>96.65832895093348</v>
      </c>
      <c r="DW138" s="4">
        <f>$AW61-SUM($BE61:DW61)</f>
        <v>89.605435406499112</v>
      </c>
    </row>
    <row r="139" spans="4:127" x14ac:dyDescent="0.25">
      <c r="D139"/>
      <c r="BD139">
        <v>2042</v>
      </c>
      <c r="BE139">
        <f>$AW62-SUM($BE62:BE62)</f>
        <v>477.15612923520001</v>
      </c>
      <c r="BF139">
        <f>$AW62-SUM($BE62:BF62)</f>
        <v>477.15612923520001</v>
      </c>
      <c r="BG139">
        <f>$AW62-SUM($BE62:BG62)</f>
        <v>477.15612923520001</v>
      </c>
      <c r="BH139">
        <f>$AW62-SUM($BE62:BH62)</f>
        <v>477.15612923520001</v>
      </c>
      <c r="BI139">
        <f>$AW62-SUM($BE62:BI62)</f>
        <v>477.15612923520001</v>
      </c>
      <c r="BJ139">
        <f>$AW62-SUM($BE62:BJ62)</f>
        <v>477.15612923520001</v>
      </c>
      <c r="BK139">
        <f>$AW62-SUM($BE62:BK62)</f>
        <v>477.15612923520001</v>
      </c>
      <c r="BL139">
        <f>$AW62-SUM($BE62:BL62)</f>
        <v>477.15612923520001</v>
      </c>
      <c r="BM139">
        <f>$AW62-SUM($BE62:BM62)</f>
        <v>477.15612923520001</v>
      </c>
      <c r="BN139">
        <f>$AW62-SUM($BE62:BN62)</f>
        <v>477.15612923520001</v>
      </c>
      <c r="BO139">
        <f>$AW62-SUM($BE62:BO62)</f>
        <v>477.15612923520001</v>
      </c>
      <c r="BP139">
        <f>$AW62-SUM($BE62:BP62)</f>
        <v>477.15612923520001</v>
      </c>
      <c r="BQ139">
        <f>$AW62-SUM($BE62:BQ62)</f>
        <v>477.15612923520001</v>
      </c>
      <c r="BR139">
        <f>$AW62-SUM($BE62:BR62)</f>
        <v>477.15612923520001</v>
      </c>
      <c r="BS139">
        <f>$AW62-SUM($BE62:BS62)</f>
        <v>477.15612923520001</v>
      </c>
      <c r="BT139">
        <f>$AW62-SUM($BE62:BT62)</f>
        <v>477.15612923520001</v>
      </c>
      <c r="BU139">
        <f>$AW62-SUM($BE62:BU62)</f>
        <v>477.15612923520001</v>
      </c>
      <c r="BV139">
        <f>$AW62-SUM($BE62:BV62)</f>
        <v>477.15612923520001</v>
      </c>
      <c r="BW139">
        <f>$AW62-SUM($BE62:BW62)</f>
        <v>477.15612923520001</v>
      </c>
      <c r="BX139">
        <f>$AW62-SUM($BE62:BX62)</f>
        <v>477.15612923520001</v>
      </c>
      <c r="BY139">
        <f>$AW62-SUM($BE62:BY62)</f>
        <v>477.15612923520001</v>
      </c>
      <c r="BZ139">
        <f>$AW62-SUM($BE62:BZ62)</f>
        <v>477.15612923520001</v>
      </c>
      <c r="CA139">
        <f>$AW62-SUM($BE62:CA62)</f>
        <v>477.15612923520001</v>
      </c>
      <c r="CB139">
        <f>$AW62-SUM($BE62:CB62)</f>
        <v>477.15612923520001</v>
      </c>
      <c r="CC139">
        <f>$AW62-SUM($BE62:CC62)</f>
        <v>477.15612923520001</v>
      </c>
      <c r="CD139">
        <f>$AW62-SUM($BE62:CD62)</f>
        <v>477.15612923520001</v>
      </c>
      <c r="CE139">
        <f>$AW62-SUM($BE62:CE62)</f>
        <v>477.15612923520001</v>
      </c>
      <c r="CF139">
        <f>$AW62-SUM($BE62:CF62)</f>
        <v>477.15612923520001</v>
      </c>
      <c r="CG139">
        <f>$AW62-SUM($BE62:CG62)</f>
        <v>477.15612923520001</v>
      </c>
      <c r="CH139">
        <f>$AW62-SUM($BE62:CH62)</f>
        <v>477.15612923520001</v>
      </c>
      <c r="CI139">
        <f>$AW62-SUM($BE62:CI62)</f>
        <v>477.15612923520001</v>
      </c>
      <c r="CJ139">
        <f>$AW62-SUM($BE62:CJ62)</f>
        <v>477.15612923520001</v>
      </c>
      <c r="CK139">
        <f>$AW62-SUM($BE62:CK62)</f>
        <v>477.15612923520001</v>
      </c>
      <c r="CL139">
        <f>$AW62-SUM($BE62:CL62)</f>
        <v>477.15612923520001</v>
      </c>
      <c r="CM139">
        <f>$AW62-SUM($BE62:CM62)</f>
        <v>477.15612923520001</v>
      </c>
      <c r="CN139">
        <f>$AW62-SUM($BE62:CN62)</f>
        <v>477.15612923520001</v>
      </c>
      <c r="CO139">
        <f>$AW62-SUM($BE62:CO62)</f>
        <v>477.15612923520001</v>
      </c>
      <c r="CP139">
        <f>$AW62-SUM($BE62:CP62)</f>
        <v>477.15612923520001</v>
      </c>
      <c r="CQ139">
        <f>$AW62-SUM($BE62:CQ62)</f>
        <v>477.15612923520001</v>
      </c>
      <c r="CR139">
        <f>$AW62-SUM($BE62:CR62)</f>
        <v>477.15612923520001</v>
      </c>
      <c r="CS139">
        <f>$AW62-SUM($BE62:CS62)</f>
        <v>477.15612923520001</v>
      </c>
      <c r="CT139">
        <f>$AW62-SUM($BE62:CT62)</f>
        <v>477.15612923520001</v>
      </c>
      <c r="CU139">
        <f>$AW62-SUM($BE62:CU62)</f>
        <v>477.15612923520001</v>
      </c>
      <c r="CV139">
        <f>$AW62-SUM($BE62:CV62)</f>
        <v>477.15612923520001</v>
      </c>
      <c r="CW139">
        <f>$AW62-SUM($BE62:CW62)</f>
        <v>477.15612923520001</v>
      </c>
      <c r="CX139">
        <f>$AW62-SUM($BE62:CX62)</f>
        <v>477.15612923520001</v>
      </c>
      <c r="CY139">
        <f>$AW62-SUM($BE62:CY62)</f>
        <v>477.15612923520001</v>
      </c>
      <c r="CZ139">
        <f>$AW62-SUM($BE62:CZ62)</f>
        <v>477.15612923520001</v>
      </c>
      <c r="DA139">
        <f>$AW62-SUM($BE62:DA62)</f>
        <v>477.15612923520001</v>
      </c>
      <c r="DB139">
        <f>$AW62-SUM($BE62:DB62)</f>
        <v>477.15612923520001</v>
      </c>
      <c r="DC139">
        <f>$AW62-SUM($BE62:DC62)</f>
        <v>477.15612923520001</v>
      </c>
      <c r="DD139">
        <f>$AW62-SUM($BE62:DD62)</f>
        <v>477.15612923520001</v>
      </c>
      <c r="DE139">
        <f>$AW62-SUM($BE62:DE62)</f>
        <v>471.35258643916183</v>
      </c>
      <c r="DF139">
        <f>$AW62-SUM($BE62:DF62)</f>
        <v>446.88572365721529</v>
      </c>
      <c r="DG139">
        <f>$AW62-SUM($BE62:DG62)</f>
        <v>412.64904274037644</v>
      </c>
      <c r="DH139">
        <f>$AW62-SUM($BE62:DH62)</f>
        <v>376.22111316186658</v>
      </c>
      <c r="DI139">
        <f>$AW62-SUM($BE62:DI62)</f>
        <v>341.08941178543694</v>
      </c>
      <c r="DJ139">
        <f>$AW62-SUM($BE62:DJ62)</f>
        <v>308.63683066611463</v>
      </c>
      <c r="DK139">
        <f>$AW62-SUM($BE62:DK62)</f>
        <v>279.27303970360026</v>
      </c>
      <c r="DL139">
        <f>$AW62-SUM($BE62:DL62)</f>
        <v>252.97210026230445</v>
      </c>
      <c r="DM139">
        <f>$AW62-SUM($BE62:DM62)</f>
        <v>229.52443011372972</v>
      </c>
      <c r="DN139">
        <f>$AW62-SUM($BE62:DN62)</f>
        <v>208.65531390359803</v>
      </c>
      <c r="DO139">
        <f>$AW62-SUM($BE62:DO62)</f>
        <v>190.08016010260303</v>
      </c>
      <c r="DP139">
        <f>$AW62-SUM($BE62:DP62)</f>
        <v>173.52924406220535</v>
      </c>
      <c r="DQ139">
        <f>$AW62-SUM($BE62:DQ62)</f>
        <v>158.75758889955546</v>
      </c>
      <c r="DR139">
        <f>$AW62-SUM($BE62:DR62)</f>
        <v>145.54764527957332</v>
      </c>
      <c r="DS139">
        <f>$AW62-SUM($BE62:DS62)</f>
        <v>133.70858591575643</v>
      </c>
      <c r="DT139">
        <f>$AW62-SUM($BE62:DT62)</f>
        <v>123.0741314857022</v>
      </c>
      <c r="DU139">
        <f>$AW62-SUM($BE62:DU62)</f>
        <v>113.49986682167236</v>
      </c>
      <c r="DV139">
        <f>$AW62-SUM($BE62:DV62)</f>
        <v>104.86051601677582</v>
      </c>
      <c r="DW139" s="4">
        <f>$AW62-SUM($BE62:DW62)</f>
        <v>97.047392455882004</v>
      </c>
    </row>
    <row r="140" spans="4:127" x14ac:dyDescent="0.25">
      <c r="D140"/>
      <c r="BD140">
        <v>2043</v>
      </c>
      <c r="BE140">
        <f>$AW63-SUM($BE63:BE63)</f>
        <v>479.03664278207998</v>
      </c>
      <c r="BF140">
        <f>$AW63-SUM($BE63:BF63)</f>
        <v>479.03664278207998</v>
      </c>
      <c r="BG140">
        <f>$AW63-SUM($BE63:BG63)</f>
        <v>479.03664278207998</v>
      </c>
      <c r="BH140">
        <f>$AW63-SUM($BE63:BH63)</f>
        <v>479.03664278207998</v>
      </c>
      <c r="BI140">
        <f>$AW63-SUM($BE63:BI63)</f>
        <v>479.03664278207998</v>
      </c>
      <c r="BJ140">
        <f>$AW63-SUM($BE63:BJ63)</f>
        <v>479.03664278207998</v>
      </c>
      <c r="BK140">
        <f>$AW63-SUM($BE63:BK63)</f>
        <v>479.03664278207998</v>
      </c>
      <c r="BL140">
        <f>$AW63-SUM($BE63:BL63)</f>
        <v>479.03664278207998</v>
      </c>
      <c r="BM140">
        <f>$AW63-SUM($BE63:BM63)</f>
        <v>479.03664278207998</v>
      </c>
      <c r="BN140">
        <f>$AW63-SUM($BE63:BN63)</f>
        <v>479.03664278207998</v>
      </c>
      <c r="BO140">
        <f>$AW63-SUM($BE63:BO63)</f>
        <v>479.03664278207998</v>
      </c>
      <c r="BP140">
        <f>$AW63-SUM($BE63:BP63)</f>
        <v>479.03664278207998</v>
      </c>
      <c r="BQ140">
        <f>$AW63-SUM($BE63:BQ63)</f>
        <v>479.03664278207998</v>
      </c>
      <c r="BR140">
        <f>$AW63-SUM($BE63:BR63)</f>
        <v>479.03664278207998</v>
      </c>
      <c r="BS140">
        <f>$AW63-SUM($BE63:BS63)</f>
        <v>479.03664278207998</v>
      </c>
      <c r="BT140">
        <f>$AW63-SUM($BE63:BT63)</f>
        <v>479.03664278207998</v>
      </c>
      <c r="BU140">
        <f>$AW63-SUM($BE63:BU63)</f>
        <v>479.03664278207998</v>
      </c>
      <c r="BV140">
        <f>$AW63-SUM($BE63:BV63)</f>
        <v>479.03664278207998</v>
      </c>
      <c r="BW140">
        <f>$AW63-SUM($BE63:BW63)</f>
        <v>479.03664278207998</v>
      </c>
      <c r="BX140">
        <f>$AW63-SUM($BE63:BX63)</f>
        <v>479.03664278207998</v>
      </c>
      <c r="BY140">
        <f>$AW63-SUM($BE63:BY63)</f>
        <v>479.03664278207998</v>
      </c>
      <c r="BZ140">
        <f>$AW63-SUM($BE63:BZ63)</f>
        <v>479.03664278207998</v>
      </c>
      <c r="CA140">
        <f>$AW63-SUM($BE63:CA63)</f>
        <v>479.03664278207998</v>
      </c>
      <c r="CB140">
        <f>$AW63-SUM($BE63:CB63)</f>
        <v>479.03664278207998</v>
      </c>
      <c r="CC140">
        <f>$AW63-SUM($BE63:CC63)</f>
        <v>479.03664278207998</v>
      </c>
      <c r="CD140">
        <f>$AW63-SUM($BE63:CD63)</f>
        <v>479.03664278207998</v>
      </c>
      <c r="CE140">
        <f>$AW63-SUM($BE63:CE63)</f>
        <v>479.03664278207998</v>
      </c>
      <c r="CF140">
        <f>$AW63-SUM($BE63:CF63)</f>
        <v>479.03664278207998</v>
      </c>
      <c r="CG140">
        <f>$AW63-SUM($BE63:CG63)</f>
        <v>479.03664278207998</v>
      </c>
      <c r="CH140">
        <f>$AW63-SUM($BE63:CH63)</f>
        <v>479.03664278207998</v>
      </c>
      <c r="CI140">
        <f>$AW63-SUM($BE63:CI63)</f>
        <v>479.03664278207998</v>
      </c>
      <c r="CJ140">
        <f>$AW63-SUM($BE63:CJ63)</f>
        <v>479.03664278207998</v>
      </c>
      <c r="CK140">
        <f>$AW63-SUM($BE63:CK63)</f>
        <v>479.03664278207998</v>
      </c>
      <c r="CL140">
        <f>$AW63-SUM($BE63:CL63)</f>
        <v>479.03664278207998</v>
      </c>
      <c r="CM140">
        <f>$AW63-SUM($BE63:CM63)</f>
        <v>479.03664278207998</v>
      </c>
      <c r="CN140">
        <f>$AW63-SUM($BE63:CN63)</f>
        <v>479.03664278207998</v>
      </c>
      <c r="CO140">
        <f>$AW63-SUM($BE63:CO63)</f>
        <v>479.03664278207998</v>
      </c>
      <c r="CP140">
        <f>$AW63-SUM($BE63:CP63)</f>
        <v>479.03664278207998</v>
      </c>
      <c r="CQ140">
        <f>$AW63-SUM($BE63:CQ63)</f>
        <v>479.03664278207998</v>
      </c>
      <c r="CR140">
        <f>$AW63-SUM($BE63:CR63)</f>
        <v>479.03664278207998</v>
      </c>
      <c r="CS140">
        <f>$AW63-SUM($BE63:CS63)</f>
        <v>479.03664278207998</v>
      </c>
      <c r="CT140">
        <f>$AW63-SUM($BE63:CT63)</f>
        <v>479.03664278207998</v>
      </c>
      <c r="CU140">
        <f>$AW63-SUM($BE63:CU63)</f>
        <v>479.03664278207998</v>
      </c>
      <c r="CV140">
        <f>$AW63-SUM($BE63:CV63)</f>
        <v>479.03664278207998</v>
      </c>
      <c r="CW140">
        <f>$AW63-SUM($BE63:CW63)</f>
        <v>479.03664278207998</v>
      </c>
      <c r="CX140">
        <f>$AW63-SUM($BE63:CX63)</f>
        <v>479.03664278207998</v>
      </c>
      <c r="CY140">
        <f>$AW63-SUM($BE63:CY63)</f>
        <v>479.03664278207998</v>
      </c>
      <c r="CZ140">
        <f>$AW63-SUM($BE63:CZ63)</f>
        <v>479.03664278207998</v>
      </c>
      <c r="DA140">
        <f>$AW63-SUM($BE63:DA63)</f>
        <v>479.03664278207998</v>
      </c>
      <c r="DB140">
        <f>$AW63-SUM($BE63:DB63)</f>
        <v>479.03664278207998</v>
      </c>
      <c r="DC140">
        <f>$AW63-SUM($BE63:DC63)</f>
        <v>479.03664278207998</v>
      </c>
      <c r="DD140">
        <f>$AW63-SUM($BE63:DD63)</f>
        <v>479.03664278207998</v>
      </c>
      <c r="DE140">
        <f>$AW63-SUM($BE63:DE63)</f>
        <v>479.03664278207998</v>
      </c>
      <c r="DF140">
        <f>$AW63-SUM($BE63:DF63)</f>
        <v>473.2102277222707</v>
      </c>
      <c r="DG140">
        <f>$AW63-SUM($BE63:DG63)</f>
        <v>448.64693891938037</v>
      </c>
      <c r="DH140">
        <f>$AW63-SUM($BE63:DH63)</f>
        <v>414.27532828390309</v>
      </c>
      <c r="DI140">
        <f>$AW63-SUM($BE63:DI63)</f>
        <v>377.70383308638509</v>
      </c>
      <c r="DJ140">
        <f>$AW63-SUM($BE63:DJ63)</f>
        <v>342.43367463832732</v>
      </c>
      <c r="DK140">
        <f>$AW63-SUM($BE63:DK63)</f>
        <v>309.85319509187195</v>
      </c>
      <c r="DL140">
        <f>$AW63-SUM($BE63:DL63)</f>
        <v>280.3736788912027</v>
      </c>
      <c r="DM140">
        <f>$AW63-SUM($BE63:DM63)</f>
        <v>253.96908517432567</v>
      </c>
      <c r="DN140">
        <f>$AW63-SUM($BE63:DN63)</f>
        <v>230.42900573106613</v>
      </c>
      <c r="DO140">
        <f>$AW63-SUM($BE63:DO63)</f>
        <v>209.47764253019062</v>
      </c>
      <c r="DP140">
        <f>$AW63-SUM($BE63:DP63)</f>
        <v>190.82928244257801</v>
      </c>
      <c r="DQ140">
        <f>$AW63-SUM($BE63:DQ63)</f>
        <v>174.21313781153617</v>
      </c>
      <c r="DR140">
        <f>$AW63-SUM($BE63:DR63)</f>
        <v>159.38326627914637</v>
      </c>
      <c r="DS140">
        <f>$AW63-SUM($BE63:DS63)</f>
        <v>146.12126112959589</v>
      </c>
      <c r="DT140">
        <f>$AW63-SUM($BE63:DT63)</f>
        <v>134.23554300955249</v>
      </c>
      <c r="DU140">
        <f>$AW63-SUM($BE63:DU63)</f>
        <v>123.55917727543209</v>
      </c>
      <c r="DV140">
        <f>$AW63-SUM($BE63:DV63)</f>
        <v>113.94717960683835</v>
      </c>
      <c r="DW140" s="4">
        <f>$AW63-SUM($BE63:DW63)</f>
        <v>105.27378037370329</v>
      </c>
    </row>
    <row r="141" spans="4:127" x14ac:dyDescent="0.25">
      <c r="D141"/>
      <c r="BD141">
        <v>2044</v>
      </c>
      <c r="BE141">
        <f>$AW64-SUM($BE64:BE64)</f>
        <v>480.89002084800001</v>
      </c>
      <c r="BF141">
        <f>$AW64-SUM($BE64:BF64)</f>
        <v>480.89002084800001</v>
      </c>
      <c r="BG141">
        <f>$AW64-SUM($BE64:BG64)</f>
        <v>480.89002084800001</v>
      </c>
      <c r="BH141">
        <f>$AW64-SUM($BE64:BH64)</f>
        <v>480.89002084800001</v>
      </c>
      <c r="BI141">
        <f>$AW64-SUM($BE64:BI64)</f>
        <v>480.89002084800001</v>
      </c>
      <c r="BJ141">
        <f>$AW64-SUM($BE64:BJ64)</f>
        <v>480.89002084800001</v>
      </c>
      <c r="BK141">
        <f>$AW64-SUM($BE64:BK64)</f>
        <v>480.89002084800001</v>
      </c>
      <c r="BL141">
        <f>$AW64-SUM($BE64:BL64)</f>
        <v>480.89002084800001</v>
      </c>
      <c r="BM141">
        <f>$AW64-SUM($BE64:BM64)</f>
        <v>480.89002084800001</v>
      </c>
      <c r="BN141">
        <f>$AW64-SUM($BE64:BN64)</f>
        <v>480.89002084800001</v>
      </c>
      <c r="BO141">
        <f>$AW64-SUM($BE64:BO64)</f>
        <v>480.89002084800001</v>
      </c>
      <c r="BP141">
        <f>$AW64-SUM($BE64:BP64)</f>
        <v>480.89002084800001</v>
      </c>
      <c r="BQ141">
        <f>$AW64-SUM($BE64:BQ64)</f>
        <v>480.89002084800001</v>
      </c>
      <c r="BR141">
        <f>$AW64-SUM($BE64:BR64)</f>
        <v>480.89002084800001</v>
      </c>
      <c r="BS141">
        <f>$AW64-SUM($BE64:BS64)</f>
        <v>480.89002084800001</v>
      </c>
      <c r="BT141">
        <f>$AW64-SUM($BE64:BT64)</f>
        <v>480.89002084800001</v>
      </c>
      <c r="BU141">
        <f>$AW64-SUM($BE64:BU64)</f>
        <v>480.89002084800001</v>
      </c>
      <c r="BV141">
        <f>$AW64-SUM($BE64:BV64)</f>
        <v>480.89002084800001</v>
      </c>
      <c r="BW141">
        <f>$AW64-SUM($BE64:BW64)</f>
        <v>480.89002084800001</v>
      </c>
      <c r="BX141">
        <f>$AW64-SUM($BE64:BX64)</f>
        <v>480.89002084800001</v>
      </c>
      <c r="BY141">
        <f>$AW64-SUM($BE64:BY64)</f>
        <v>480.89002084800001</v>
      </c>
      <c r="BZ141">
        <f>$AW64-SUM($BE64:BZ64)</f>
        <v>480.89002084800001</v>
      </c>
      <c r="CA141">
        <f>$AW64-SUM($BE64:CA64)</f>
        <v>480.89002084800001</v>
      </c>
      <c r="CB141">
        <f>$AW64-SUM($BE64:CB64)</f>
        <v>480.89002084800001</v>
      </c>
      <c r="CC141">
        <f>$AW64-SUM($BE64:CC64)</f>
        <v>480.89002084800001</v>
      </c>
      <c r="CD141">
        <f>$AW64-SUM($BE64:CD64)</f>
        <v>480.89002084800001</v>
      </c>
      <c r="CE141">
        <f>$AW64-SUM($BE64:CE64)</f>
        <v>480.89002084800001</v>
      </c>
      <c r="CF141">
        <f>$AW64-SUM($BE64:CF64)</f>
        <v>480.89002084800001</v>
      </c>
      <c r="CG141">
        <f>$AW64-SUM($BE64:CG64)</f>
        <v>480.89002084800001</v>
      </c>
      <c r="CH141">
        <f>$AW64-SUM($BE64:CH64)</f>
        <v>480.89002084800001</v>
      </c>
      <c r="CI141">
        <f>$AW64-SUM($BE64:CI64)</f>
        <v>480.89002084800001</v>
      </c>
      <c r="CJ141">
        <f>$AW64-SUM($BE64:CJ64)</f>
        <v>480.89002084800001</v>
      </c>
      <c r="CK141">
        <f>$AW64-SUM($BE64:CK64)</f>
        <v>480.89002084800001</v>
      </c>
      <c r="CL141">
        <f>$AW64-SUM($BE64:CL64)</f>
        <v>480.89002084800001</v>
      </c>
      <c r="CM141">
        <f>$AW64-SUM($BE64:CM64)</f>
        <v>480.89002084800001</v>
      </c>
      <c r="CN141">
        <f>$AW64-SUM($BE64:CN64)</f>
        <v>480.89002084800001</v>
      </c>
      <c r="CO141">
        <f>$AW64-SUM($BE64:CO64)</f>
        <v>480.89002084800001</v>
      </c>
      <c r="CP141">
        <f>$AW64-SUM($BE64:CP64)</f>
        <v>480.89002084800001</v>
      </c>
      <c r="CQ141">
        <f>$AW64-SUM($BE64:CQ64)</f>
        <v>480.89002084800001</v>
      </c>
      <c r="CR141">
        <f>$AW64-SUM($BE64:CR64)</f>
        <v>480.89002084800001</v>
      </c>
      <c r="CS141">
        <f>$AW64-SUM($BE64:CS64)</f>
        <v>480.89002084800001</v>
      </c>
      <c r="CT141">
        <f>$AW64-SUM($BE64:CT64)</f>
        <v>480.89002084800001</v>
      </c>
      <c r="CU141">
        <f>$AW64-SUM($BE64:CU64)</f>
        <v>480.89002084800001</v>
      </c>
      <c r="CV141">
        <f>$AW64-SUM($BE64:CV64)</f>
        <v>480.89002084800001</v>
      </c>
      <c r="CW141">
        <f>$AW64-SUM($BE64:CW64)</f>
        <v>480.89002084800001</v>
      </c>
      <c r="CX141">
        <f>$AW64-SUM($BE64:CX64)</f>
        <v>480.89002084800001</v>
      </c>
      <c r="CY141">
        <f>$AW64-SUM($BE64:CY64)</f>
        <v>480.89002084800001</v>
      </c>
      <c r="CZ141">
        <f>$AW64-SUM($BE64:CZ64)</f>
        <v>480.89002084800001</v>
      </c>
      <c r="DA141">
        <f>$AW64-SUM($BE64:DA64)</f>
        <v>480.89002084800001</v>
      </c>
      <c r="DB141">
        <f>$AW64-SUM($BE64:DB64)</f>
        <v>480.89002084800001</v>
      </c>
      <c r="DC141">
        <f>$AW64-SUM($BE64:DC64)</f>
        <v>480.89002084800001</v>
      </c>
      <c r="DD141">
        <f>$AW64-SUM($BE64:DD64)</f>
        <v>480.89002084800001</v>
      </c>
      <c r="DE141">
        <f>$AW64-SUM($BE64:DE64)</f>
        <v>480.89002084800001</v>
      </c>
      <c r="DF141">
        <f>$AW64-SUM($BE64:DF64)</f>
        <v>480.89002084800001</v>
      </c>
      <c r="DG141">
        <f>$AW64-SUM($BE64:DG64)</f>
        <v>475.04106356717801</v>
      </c>
      <c r="DH141">
        <f>$AW64-SUM($BE64:DH64)</f>
        <v>450.38274015392938</v>
      </c>
      <c r="DI141">
        <f>$AW64-SUM($BE64:DI64)</f>
        <v>415.8781468120099</v>
      </c>
      <c r="DJ141">
        <f>$AW64-SUM($BE64:DJ64)</f>
        <v>379.16515762220911</v>
      </c>
      <c r="DK141">
        <f>$AW64-SUM($BE64:DK64)</f>
        <v>343.75854001380503</v>
      </c>
      <c r="DL141">
        <f>$AW64-SUM($BE64:DL64)</f>
        <v>311.05200759210845</v>
      </c>
      <c r="DM141">
        <f>$AW64-SUM($BE64:DM64)</f>
        <v>281.45843604819254</v>
      </c>
      <c r="DN141">
        <f>$AW64-SUM($BE64:DN64)</f>
        <v>254.95168376876759</v>
      </c>
      <c r="DO141">
        <f>$AW64-SUM($BE64:DO64)</f>
        <v>231.32052848075267</v>
      </c>
      <c r="DP141">
        <f>$AW64-SUM($BE64:DP64)</f>
        <v>210.2881050987977</v>
      </c>
      <c r="DQ141">
        <f>$AW64-SUM($BE64:DQ64)</f>
        <v>191.56759507845544</v>
      </c>
      <c r="DR141">
        <f>$AW64-SUM($BE64:DR64)</f>
        <v>174.88716309390247</v>
      </c>
      <c r="DS141">
        <f>$AW64-SUM($BE64:DS64)</f>
        <v>159.99991524378692</v>
      </c>
      <c r="DT141">
        <f>$AW64-SUM($BE64:DT64)</f>
        <v>146.68659980341704</v>
      </c>
      <c r="DU141">
        <f>$AW64-SUM($BE64:DU64)</f>
        <v>134.75489620482347</v>
      </c>
      <c r="DV141">
        <f>$AW64-SUM($BE64:DV64)</f>
        <v>124.03722393941052</v>
      </c>
      <c r="DW141" s="4">
        <f>$AW64-SUM($BE64:DW64)</f>
        <v>114.38803774689683</v>
      </c>
    </row>
    <row r="142" spans="4:127" x14ac:dyDescent="0.25">
      <c r="D142"/>
      <c r="BD142">
        <v>2045</v>
      </c>
      <c r="BE142">
        <f>$AW65-SUM($BE65:BE65)</f>
        <v>482.72163059520005</v>
      </c>
      <c r="BF142">
        <f>$AW65-SUM($BE65:BF65)</f>
        <v>482.72163059520005</v>
      </c>
      <c r="BG142">
        <f>$AW65-SUM($BE65:BG65)</f>
        <v>482.72163059520005</v>
      </c>
      <c r="BH142">
        <f>$AW65-SUM($BE65:BH65)</f>
        <v>482.72163059520005</v>
      </c>
      <c r="BI142">
        <f>$AW65-SUM($BE65:BI65)</f>
        <v>482.72163059520005</v>
      </c>
      <c r="BJ142">
        <f>$AW65-SUM($BE65:BJ65)</f>
        <v>482.72163059520005</v>
      </c>
      <c r="BK142">
        <f>$AW65-SUM($BE65:BK65)</f>
        <v>482.72163059520005</v>
      </c>
      <c r="BL142">
        <f>$AW65-SUM($BE65:BL65)</f>
        <v>482.72163059520005</v>
      </c>
      <c r="BM142">
        <f>$AW65-SUM($BE65:BM65)</f>
        <v>482.72163059520005</v>
      </c>
      <c r="BN142">
        <f>$AW65-SUM($BE65:BN65)</f>
        <v>482.72163059520005</v>
      </c>
      <c r="BO142">
        <f>$AW65-SUM($BE65:BO65)</f>
        <v>482.72163059520005</v>
      </c>
      <c r="BP142">
        <f>$AW65-SUM($BE65:BP65)</f>
        <v>482.72163059520005</v>
      </c>
      <c r="BQ142">
        <f>$AW65-SUM($BE65:BQ65)</f>
        <v>482.72163059520005</v>
      </c>
      <c r="BR142">
        <f>$AW65-SUM($BE65:BR65)</f>
        <v>482.72163059520005</v>
      </c>
      <c r="BS142">
        <f>$AW65-SUM($BE65:BS65)</f>
        <v>482.72163059520005</v>
      </c>
      <c r="BT142">
        <f>$AW65-SUM($BE65:BT65)</f>
        <v>482.72163059520005</v>
      </c>
      <c r="BU142">
        <f>$AW65-SUM($BE65:BU65)</f>
        <v>482.72163059520005</v>
      </c>
      <c r="BV142">
        <f>$AW65-SUM($BE65:BV65)</f>
        <v>482.72163059520005</v>
      </c>
      <c r="BW142">
        <f>$AW65-SUM($BE65:BW65)</f>
        <v>482.72163059520005</v>
      </c>
      <c r="BX142">
        <f>$AW65-SUM($BE65:BX65)</f>
        <v>482.72163059520005</v>
      </c>
      <c r="BY142">
        <f>$AW65-SUM($BE65:BY65)</f>
        <v>482.72163059520005</v>
      </c>
      <c r="BZ142">
        <f>$AW65-SUM($BE65:BZ65)</f>
        <v>482.72163059520005</v>
      </c>
      <c r="CA142">
        <f>$AW65-SUM($BE65:CA65)</f>
        <v>482.72163059520005</v>
      </c>
      <c r="CB142">
        <f>$AW65-SUM($BE65:CB65)</f>
        <v>482.72163059520005</v>
      </c>
      <c r="CC142">
        <f>$AW65-SUM($BE65:CC65)</f>
        <v>482.72163059520005</v>
      </c>
      <c r="CD142">
        <f>$AW65-SUM($BE65:CD65)</f>
        <v>482.72163059520005</v>
      </c>
      <c r="CE142">
        <f>$AW65-SUM($BE65:CE65)</f>
        <v>482.72163059520005</v>
      </c>
      <c r="CF142">
        <f>$AW65-SUM($BE65:CF65)</f>
        <v>482.72163059520005</v>
      </c>
      <c r="CG142">
        <f>$AW65-SUM($BE65:CG65)</f>
        <v>482.72163059520005</v>
      </c>
      <c r="CH142">
        <f>$AW65-SUM($BE65:CH65)</f>
        <v>482.72163059520005</v>
      </c>
      <c r="CI142">
        <f>$AW65-SUM($BE65:CI65)</f>
        <v>482.72163059520005</v>
      </c>
      <c r="CJ142">
        <f>$AW65-SUM($BE65:CJ65)</f>
        <v>482.72163059520005</v>
      </c>
      <c r="CK142">
        <f>$AW65-SUM($BE65:CK65)</f>
        <v>482.72163059520005</v>
      </c>
      <c r="CL142">
        <f>$AW65-SUM($BE65:CL65)</f>
        <v>482.72163059520005</v>
      </c>
      <c r="CM142">
        <f>$AW65-SUM($BE65:CM65)</f>
        <v>482.72163059520005</v>
      </c>
      <c r="CN142">
        <f>$AW65-SUM($BE65:CN65)</f>
        <v>482.72163059520005</v>
      </c>
      <c r="CO142">
        <f>$AW65-SUM($BE65:CO65)</f>
        <v>482.72163059520005</v>
      </c>
      <c r="CP142">
        <f>$AW65-SUM($BE65:CP65)</f>
        <v>482.72163059520005</v>
      </c>
      <c r="CQ142">
        <f>$AW65-SUM($BE65:CQ65)</f>
        <v>482.72163059520005</v>
      </c>
      <c r="CR142">
        <f>$AW65-SUM($BE65:CR65)</f>
        <v>482.72163059520005</v>
      </c>
      <c r="CS142">
        <f>$AW65-SUM($BE65:CS65)</f>
        <v>482.72163059520005</v>
      </c>
      <c r="CT142">
        <f>$AW65-SUM($BE65:CT65)</f>
        <v>482.72163059520005</v>
      </c>
      <c r="CU142">
        <f>$AW65-SUM($BE65:CU65)</f>
        <v>482.72163059520005</v>
      </c>
      <c r="CV142">
        <f>$AW65-SUM($BE65:CV65)</f>
        <v>482.72163059520005</v>
      </c>
      <c r="CW142">
        <f>$AW65-SUM($BE65:CW65)</f>
        <v>482.72163059520005</v>
      </c>
      <c r="CX142">
        <f>$AW65-SUM($BE65:CX65)</f>
        <v>482.72163059520005</v>
      </c>
      <c r="CY142">
        <f>$AW65-SUM($BE65:CY65)</f>
        <v>482.72163059520005</v>
      </c>
      <c r="CZ142">
        <f>$AW65-SUM($BE65:CZ65)</f>
        <v>482.72163059520005</v>
      </c>
      <c r="DA142">
        <f>$AW65-SUM($BE65:DA65)</f>
        <v>482.72163059520005</v>
      </c>
      <c r="DB142">
        <f>$AW65-SUM($BE65:DB65)</f>
        <v>482.72163059520005</v>
      </c>
      <c r="DC142">
        <f>$AW65-SUM($BE65:DC65)</f>
        <v>482.72163059520005</v>
      </c>
      <c r="DD142">
        <f>$AW65-SUM($BE65:DD65)</f>
        <v>482.72163059520005</v>
      </c>
      <c r="DE142">
        <f>$AW65-SUM($BE65:DE65)</f>
        <v>482.72163059520005</v>
      </c>
      <c r="DF142">
        <f>$AW65-SUM($BE65:DF65)</f>
        <v>482.72163059520005</v>
      </c>
      <c r="DG142">
        <f>$AW65-SUM($BE65:DG65)</f>
        <v>482.72163059520005</v>
      </c>
      <c r="DH142">
        <f>$AW65-SUM($BE65:DH65)</f>
        <v>476.85039585653516</v>
      </c>
      <c r="DI142">
        <f>$AW65-SUM($BE65:DI65)</f>
        <v>452.09815403459572</v>
      </c>
      <c r="DJ142">
        <f>$AW65-SUM($BE65:DJ65)</f>
        <v>417.46213989634373</v>
      </c>
      <c r="DK142">
        <f>$AW65-SUM($BE65:DK65)</f>
        <v>380.6093185912282</v>
      </c>
      <c r="DL142">
        <f>$AW65-SUM($BE65:DL65)</f>
        <v>345.06784456427636</v>
      </c>
      <c r="DM142">
        <f>$AW65-SUM($BE65:DM65)</f>
        <v>312.2367397851101</v>
      </c>
      <c r="DN142">
        <f>$AW65-SUM($BE65:DN65)</f>
        <v>282.53045250215945</v>
      </c>
      <c r="DO142">
        <f>$AW65-SUM($BE65:DO65)</f>
        <v>255.92274153418447</v>
      </c>
      <c r="DP142">
        <f>$AW65-SUM($BE65:DP65)</f>
        <v>232.20158010653952</v>
      </c>
      <c r="DQ142">
        <f>$AW65-SUM($BE65:DQ65)</f>
        <v>211.08904861253495</v>
      </c>
      <c r="DR142">
        <f>$AW65-SUM($BE65:DR65)</f>
        <v>192.2972360757351</v>
      </c>
      <c r="DS142">
        <f>$AW65-SUM($BE65:DS65)</f>
        <v>175.55327180628143</v>
      </c>
      <c r="DT142">
        <f>$AW65-SUM($BE65:DT65)</f>
        <v>160.60932153546861</v>
      </c>
      <c r="DU142">
        <f>$AW65-SUM($BE65:DU65)</f>
        <v>147.24529845453441</v>
      </c>
      <c r="DV142">
        <f>$AW65-SUM($BE65:DV65)</f>
        <v>135.26814948659558</v>
      </c>
      <c r="DW142" s="4">
        <f>$AW65-SUM($BE65:DW65)</f>
        <v>124.50965584386643</v>
      </c>
    </row>
    <row r="143" spans="4:127" x14ac:dyDescent="0.25">
      <c r="D143"/>
      <c r="BD143">
        <v>2046</v>
      </c>
      <c r="BE143">
        <f>$AW66-SUM($BE66:BE66)</f>
        <v>484.53680588928006</v>
      </c>
      <c r="BF143">
        <f>$AW66-SUM($BE66:BF66)</f>
        <v>484.53680588928006</v>
      </c>
      <c r="BG143">
        <f>$AW66-SUM($BE66:BG66)</f>
        <v>484.53680588928006</v>
      </c>
      <c r="BH143">
        <f>$AW66-SUM($BE66:BH66)</f>
        <v>484.53680588928006</v>
      </c>
      <c r="BI143">
        <f>$AW66-SUM($BE66:BI66)</f>
        <v>484.53680588928006</v>
      </c>
      <c r="BJ143">
        <f>$AW66-SUM($BE66:BJ66)</f>
        <v>484.53680588928006</v>
      </c>
      <c r="BK143">
        <f>$AW66-SUM($BE66:BK66)</f>
        <v>484.53680588928006</v>
      </c>
      <c r="BL143">
        <f>$AW66-SUM($BE66:BL66)</f>
        <v>484.53680588928006</v>
      </c>
      <c r="BM143">
        <f>$AW66-SUM($BE66:BM66)</f>
        <v>484.53680588928006</v>
      </c>
      <c r="BN143">
        <f>$AW66-SUM($BE66:BN66)</f>
        <v>484.53680588928006</v>
      </c>
      <c r="BO143">
        <f>$AW66-SUM($BE66:BO66)</f>
        <v>484.53680588928006</v>
      </c>
      <c r="BP143">
        <f>$AW66-SUM($BE66:BP66)</f>
        <v>484.53680588928006</v>
      </c>
      <c r="BQ143">
        <f>$AW66-SUM($BE66:BQ66)</f>
        <v>484.53680588928006</v>
      </c>
      <c r="BR143">
        <f>$AW66-SUM($BE66:BR66)</f>
        <v>484.53680588928006</v>
      </c>
      <c r="BS143">
        <f>$AW66-SUM($BE66:BS66)</f>
        <v>484.53680588928006</v>
      </c>
      <c r="BT143">
        <f>$AW66-SUM($BE66:BT66)</f>
        <v>484.53680588928006</v>
      </c>
      <c r="BU143">
        <f>$AW66-SUM($BE66:BU66)</f>
        <v>484.53680588928006</v>
      </c>
      <c r="BV143">
        <f>$AW66-SUM($BE66:BV66)</f>
        <v>484.53680588928006</v>
      </c>
      <c r="BW143">
        <f>$AW66-SUM($BE66:BW66)</f>
        <v>484.53680588928006</v>
      </c>
      <c r="BX143">
        <f>$AW66-SUM($BE66:BX66)</f>
        <v>484.53680588928006</v>
      </c>
      <c r="BY143">
        <f>$AW66-SUM($BE66:BY66)</f>
        <v>484.53680588928006</v>
      </c>
      <c r="BZ143">
        <f>$AW66-SUM($BE66:BZ66)</f>
        <v>484.53680588928006</v>
      </c>
      <c r="CA143">
        <f>$AW66-SUM($BE66:CA66)</f>
        <v>484.53680588928006</v>
      </c>
      <c r="CB143">
        <f>$AW66-SUM($BE66:CB66)</f>
        <v>484.53680588928006</v>
      </c>
      <c r="CC143">
        <f>$AW66-SUM($BE66:CC66)</f>
        <v>484.53680588928006</v>
      </c>
      <c r="CD143">
        <f>$AW66-SUM($BE66:CD66)</f>
        <v>484.53680588928006</v>
      </c>
      <c r="CE143">
        <f>$AW66-SUM($BE66:CE66)</f>
        <v>484.53680588928006</v>
      </c>
      <c r="CF143">
        <f>$AW66-SUM($BE66:CF66)</f>
        <v>484.53680588928006</v>
      </c>
      <c r="CG143">
        <f>$AW66-SUM($BE66:CG66)</f>
        <v>484.53680588928006</v>
      </c>
      <c r="CH143">
        <f>$AW66-SUM($BE66:CH66)</f>
        <v>484.53680588928006</v>
      </c>
      <c r="CI143">
        <f>$AW66-SUM($BE66:CI66)</f>
        <v>484.53680588928006</v>
      </c>
      <c r="CJ143">
        <f>$AW66-SUM($BE66:CJ66)</f>
        <v>484.53680588928006</v>
      </c>
      <c r="CK143">
        <f>$AW66-SUM($BE66:CK66)</f>
        <v>484.53680588928006</v>
      </c>
      <c r="CL143">
        <f>$AW66-SUM($BE66:CL66)</f>
        <v>484.53680588928006</v>
      </c>
      <c r="CM143">
        <f>$AW66-SUM($BE66:CM66)</f>
        <v>484.53680588928006</v>
      </c>
      <c r="CN143">
        <f>$AW66-SUM($BE66:CN66)</f>
        <v>484.53680588928006</v>
      </c>
      <c r="CO143">
        <f>$AW66-SUM($BE66:CO66)</f>
        <v>484.53680588928006</v>
      </c>
      <c r="CP143">
        <f>$AW66-SUM($BE66:CP66)</f>
        <v>484.53680588928006</v>
      </c>
      <c r="CQ143">
        <f>$AW66-SUM($BE66:CQ66)</f>
        <v>484.53680588928006</v>
      </c>
      <c r="CR143">
        <f>$AW66-SUM($BE66:CR66)</f>
        <v>484.53680588928006</v>
      </c>
      <c r="CS143">
        <f>$AW66-SUM($BE66:CS66)</f>
        <v>484.53680588928006</v>
      </c>
      <c r="CT143">
        <f>$AW66-SUM($BE66:CT66)</f>
        <v>484.53680588928006</v>
      </c>
      <c r="CU143">
        <f>$AW66-SUM($BE66:CU66)</f>
        <v>484.53680588928006</v>
      </c>
      <c r="CV143">
        <f>$AW66-SUM($BE66:CV66)</f>
        <v>484.53680588928006</v>
      </c>
      <c r="CW143">
        <f>$AW66-SUM($BE66:CW66)</f>
        <v>484.53680588928006</v>
      </c>
      <c r="CX143">
        <f>$AW66-SUM($BE66:CX66)</f>
        <v>484.53680588928006</v>
      </c>
      <c r="CY143">
        <f>$AW66-SUM($BE66:CY66)</f>
        <v>484.53680588928006</v>
      </c>
      <c r="CZ143">
        <f>$AW66-SUM($BE66:CZ66)</f>
        <v>484.53680588928006</v>
      </c>
      <c r="DA143">
        <f>$AW66-SUM($BE66:DA66)</f>
        <v>484.53680588928006</v>
      </c>
      <c r="DB143">
        <f>$AW66-SUM($BE66:DB66)</f>
        <v>484.53680588928006</v>
      </c>
      <c r="DC143">
        <f>$AW66-SUM($BE66:DC66)</f>
        <v>484.53680588928006</v>
      </c>
      <c r="DD143">
        <f>$AW66-SUM($BE66:DD66)</f>
        <v>484.53680588928006</v>
      </c>
      <c r="DE143">
        <f>$AW66-SUM($BE66:DE66)</f>
        <v>484.53680588928006</v>
      </c>
      <c r="DF143">
        <f>$AW66-SUM($BE66:DF66)</f>
        <v>484.53680588928006</v>
      </c>
      <c r="DG143">
        <f>$AW66-SUM($BE66:DG66)</f>
        <v>484.53680588928006</v>
      </c>
      <c r="DH143">
        <f>$AW66-SUM($BE66:DH66)</f>
        <v>484.53680588928006</v>
      </c>
      <c r="DI143">
        <f>$AW66-SUM($BE66:DI66)</f>
        <v>478.64349358133319</v>
      </c>
      <c r="DJ143">
        <f>$AW66-SUM($BE66:DJ66)</f>
        <v>453.79817605078534</v>
      </c>
      <c r="DK143">
        <f>$AW66-SUM($BE66:DK66)</f>
        <v>419.03192031330843</v>
      </c>
      <c r="DL143">
        <f>$AW66-SUM($BE66:DL66)</f>
        <v>382.0405215620824</v>
      </c>
      <c r="DM143">
        <f>$AW66-SUM($BE66:DM66)</f>
        <v>346.36540114043851</v>
      </c>
      <c r="DN143">
        <f>$AW66-SUM($BE66:DN66)</f>
        <v>313.41084175204122</v>
      </c>
      <c r="DO143">
        <f>$AW66-SUM($BE66:DO66)</f>
        <v>283.5928500926193</v>
      </c>
      <c r="DP143">
        <f>$AW66-SUM($BE66:DP66)</f>
        <v>256.88508630637398</v>
      </c>
      <c r="DQ143">
        <f>$AW66-SUM($BE66:DQ66)</f>
        <v>233.07472633563239</v>
      </c>
      <c r="DR143">
        <f>$AW66-SUM($BE66:DR66)</f>
        <v>211.88280551425055</v>
      </c>
      <c r="DS143">
        <f>$AW66-SUM($BE66:DS66)</f>
        <v>193.02033023585005</v>
      </c>
      <c r="DT143">
        <f>$AW66-SUM($BE66:DT66)</f>
        <v>176.21340373653027</v>
      </c>
      <c r="DU143">
        <f>$AW66-SUM($BE66:DU66)</f>
        <v>161.21325981785026</v>
      </c>
      <c r="DV143">
        <f>$AW66-SUM($BE66:DV66)</f>
        <v>147.79898407992175</v>
      </c>
      <c r="DW143" s="4">
        <f>$AW66-SUM($BE66:DW66)</f>
        <v>135.77679750951773</v>
      </c>
    </row>
    <row r="144" spans="4:127" x14ac:dyDescent="0.25">
      <c r="D144"/>
      <c r="BD144">
        <v>2047</v>
      </c>
      <c r="BE144">
        <f>$AW67-SUM($BE67:BE67)</f>
        <v>486.34074740927997</v>
      </c>
      <c r="BF144">
        <f>$AW67-SUM($BE67:BF67)</f>
        <v>486.34074740927997</v>
      </c>
      <c r="BG144">
        <f>$AW67-SUM($BE67:BG67)</f>
        <v>486.34074740927997</v>
      </c>
      <c r="BH144">
        <f>$AW67-SUM($BE67:BH67)</f>
        <v>486.34074740927997</v>
      </c>
      <c r="BI144">
        <f>$AW67-SUM($BE67:BI67)</f>
        <v>486.34074740927997</v>
      </c>
      <c r="BJ144">
        <f>$AW67-SUM($BE67:BJ67)</f>
        <v>486.34074740927997</v>
      </c>
      <c r="BK144">
        <f>$AW67-SUM($BE67:BK67)</f>
        <v>486.34074740927997</v>
      </c>
      <c r="BL144">
        <f>$AW67-SUM($BE67:BL67)</f>
        <v>486.34074740927997</v>
      </c>
      <c r="BM144">
        <f>$AW67-SUM($BE67:BM67)</f>
        <v>486.34074740927997</v>
      </c>
      <c r="BN144">
        <f>$AW67-SUM($BE67:BN67)</f>
        <v>486.34074740927997</v>
      </c>
      <c r="BO144">
        <f>$AW67-SUM($BE67:BO67)</f>
        <v>486.34074740927997</v>
      </c>
      <c r="BP144">
        <f>$AW67-SUM($BE67:BP67)</f>
        <v>486.34074740927997</v>
      </c>
      <c r="BQ144">
        <f>$AW67-SUM($BE67:BQ67)</f>
        <v>486.34074740927997</v>
      </c>
      <c r="BR144">
        <f>$AW67-SUM($BE67:BR67)</f>
        <v>486.34074740927997</v>
      </c>
      <c r="BS144">
        <f>$AW67-SUM($BE67:BS67)</f>
        <v>486.34074740927997</v>
      </c>
      <c r="BT144">
        <f>$AW67-SUM($BE67:BT67)</f>
        <v>486.34074740927997</v>
      </c>
      <c r="BU144">
        <f>$AW67-SUM($BE67:BU67)</f>
        <v>486.34074740927997</v>
      </c>
      <c r="BV144">
        <f>$AW67-SUM($BE67:BV67)</f>
        <v>486.34074740927997</v>
      </c>
      <c r="BW144">
        <f>$AW67-SUM($BE67:BW67)</f>
        <v>486.34074740927997</v>
      </c>
      <c r="BX144">
        <f>$AW67-SUM($BE67:BX67)</f>
        <v>486.34074740927997</v>
      </c>
      <c r="BY144">
        <f>$AW67-SUM($BE67:BY67)</f>
        <v>486.34074740927997</v>
      </c>
      <c r="BZ144">
        <f>$AW67-SUM($BE67:BZ67)</f>
        <v>486.34074740927997</v>
      </c>
      <c r="CA144">
        <f>$AW67-SUM($BE67:CA67)</f>
        <v>486.34074740927997</v>
      </c>
      <c r="CB144">
        <f>$AW67-SUM($BE67:CB67)</f>
        <v>486.34074740927997</v>
      </c>
      <c r="CC144">
        <f>$AW67-SUM($BE67:CC67)</f>
        <v>486.34074740927997</v>
      </c>
      <c r="CD144">
        <f>$AW67-SUM($BE67:CD67)</f>
        <v>486.34074740927997</v>
      </c>
      <c r="CE144">
        <f>$AW67-SUM($BE67:CE67)</f>
        <v>486.34074740927997</v>
      </c>
      <c r="CF144">
        <f>$AW67-SUM($BE67:CF67)</f>
        <v>486.34074740927997</v>
      </c>
      <c r="CG144">
        <f>$AW67-SUM($BE67:CG67)</f>
        <v>486.34074740927997</v>
      </c>
      <c r="CH144">
        <f>$AW67-SUM($BE67:CH67)</f>
        <v>486.34074740927997</v>
      </c>
      <c r="CI144">
        <f>$AW67-SUM($BE67:CI67)</f>
        <v>486.34074740927997</v>
      </c>
      <c r="CJ144">
        <f>$AW67-SUM($BE67:CJ67)</f>
        <v>486.34074740927997</v>
      </c>
      <c r="CK144">
        <f>$AW67-SUM($BE67:CK67)</f>
        <v>486.34074740927997</v>
      </c>
      <c r="CL144">
        <f>$AW67-SUM($BE67:CL67)</f>
        <v>486.34074740927997</v>
      </c>
      <c r="CM144">
        <f>$AW67-SUM($BE67:CM67)</f>
        <v>486.34074740927997</v>
      </c>
      <c r="CN144">
        <f>$AW67-SUM($BE67:CN67)</f>
        <v>486.34074740927997</v>
      </c>
      <c r="CO144">
        <f>$AW67-SUM($BE67:CO67)</f>
        <v>486.34074740927997</v>
      </c>
      <c r="CP144">
        <f>$AW67-SUM($BE67:CP67)</f>
        <v>486.34074740927997</v>
      </c>
      <c r="CQ144">
        <f>$AW67-SUM($BE67:CQ67)</f>
        <v>486.34074740927997</v>
      </c>
      <c r="CR144">
        <f>$AW67-SUM($BE67:CR67)</f>
        <v>486.34074740927997</v>
      </c>
      <c r="CS144">
        <f>$AW67-SUM($BE67:CS67)</f>
        <v>486.34074740927997</v>
      </c>
      <c r="CT144">
        <f>$AW67-SUM($BE67:CT67)</f>
        <v>486.34074740927997</v>
      </c>
      <c r="CU144">
        <f>$AW67-SUM($BE67:CU67)</f>
        <v>486.34074740927997</v>
      </c>
      <c r="CV144">
        <f>$AW67-SUM($BE67:CV67)</f>
        <v>486.34074740927997</v>
      </c>
      <c r="CW144">
        <f>$AW67-SUM($BE67:CW67)</f>
        <v>486.34074740927997</v>
      </c>
      <c r="CX144">
        <f>$AW67-SUM($BE67:CX67)</f>
        <v>486.34074740927997</v>
      </c>
      <c r="CY144">
        <f>$AW67-SUM($BE67:CY67)</f>
        <v>486.34074740927997</v>
      </c>
      <c r="CZ144">
        <f>$AW67-SUM($BE67:CZ67)</f>
        <v>486.34074740927997</v>
      </c>
      <c r="DA144">
        <f>$AW67-SUM($BE67:DA67)</f>
        <v>486.34074740927997</v>
      </c>
      <c r="DB144">
        <f>$AW67-SUM($BE67:DB67)</f>
        <v>486.34074740927997</v>
      </c>
      <c r="DC144">
        <f>$AW67-SUM($BE67:DC67)</f>
        <v>486.34074740927997</v>
      </c>
      <c r="DD144">
        <f>$AW67-SUM($BE67:DD67)</f>
        <v>486.34074740927997</v>
      </c>
      <c r="DE144">
        <f>$AW67-SUM($BE67:DE67)</f>
        <v>486.34074740927997</v>
      </c>
      <c r="DF144">
        <f>$AW67-SUM($BE67:DF67)</f>
        <v>486.34074740927997</v>
      </c>
      <c r="DG144">
        <f>$AW67-SUM($BE67:DG67)</f>
        <v>486.34074740927997</v>
      </c>
      <c r="DH144">
        <f>$AW67-SUM($BE67:DH67)</f>
        <v>486.34074740927997</v>
      </c>
      <c r="DI144">
        <f>$AW67-SUM($BE67:DI67)</f>
        <v>486.34074740927997</v>
      </c>
      <c r="DJ144">
        <f>$AW67-SUM($BE67:DJ67)</f>
        <v>480.42549416592135</v>
      </c>
      <c r="DK144">
        <f>$AW67-SUM($BE67:DK67)</f>
        <v>455.48767695459344</v>
      </c>
      <c r="DL144">
        <f>$AW67-SUM($BE67:DL67)</f>
        <v>420.59198565833651</v>
      </c>
      <c r="DM144">
        <f>$AW67-SUM($BE67:DM67)</f>
        <v>383.46286709041311</v>
      </c>
      <c r="DN144">
        <f>$AW67-SUM($BE67:DN67)</f>
        <v>347.65492738615251</v>
      </c>
      <c r="DO144">
        <f>$AW67-SUM($BE67:DO67)</f>
        <v>314.57767742558099</v>
      </c>
      <c r="DP144">
        <f>$AW67-SUM($BE67:DP67)</f>
        <v>284.64867270679258</v>
      </c>
      <c r="DQ144">
        <f>$AW67-SUM($BE67:DQ67)</f>
        <v>257.84147531010785</v>
      </c>
      <c r="DR144">
        <f>$AW67-SUM($BE67:DR67)</f>
        <v>233.94246882905929</v>
      </c>
      <c r="DS144">
        <f>$AW67-SUM($BE67:DS67)</f>
        <v>212.67165000572265</v>
      </c>
      <c r="DT144">
        <f>$AW67-SUM($BE67:DT67)</f>
        <v>193.7389493039671</v>
      </c>
      <c r="DU144">
        <f>$AW67-SUM($BE67:DU67)</f>
        <v>176.86945023602675</v>
      </c>
      <c r="DV144">
        <f>$AW67-SUM($BE67:DV67)</f>
        <v>161.81346044126059</v>
      </c>
      <c r="DW144" s="4">
        <f>$AW67-SUM($BE67:DW67)</f>
        <v>148.34924305045814</v>
      </c>
    </row>
    <row r="145" spans="4:127" x14ac:dyDescent="0.25">
      <c r="D145"/>
      <c r="BD145">
        <v>2048</v>
      </c>
      <c r="BE145">
        <f>$AW68-SUM($BE68:BE68)</f>
        <v>488.13867376320002</v>
      </c>
      <c r="BF145">
        <f>$AW68-SUM($BE68:BF68)</f>
        <v>488.13867376320002</v>
      </c>
      <c r="BG145">
        <f>$AW68-SUM($BE68:BG68)</f>
        <v>488.13867376320002</v>
      </c>
      <c r="BH145">
        <f>$AW68-SUM($BE68:BH68)</f>
        <v>488.13867376320002</v>
      </c>
      <c r="BI145">
        <f>$AW68-SUM($BE68:BI68)</f>
        <v>488.13867376320002</v>
      </c>
      <c r="BJ145">
        <f>$AW68-SUM($BE68:BJ68)</f>
        <v>488.13867376320002</v>
      </c>
      <c r="BK145">
        <f>$AW68-SUM($BE68:BK68)</f>
        <v>488.13867376320002</v>
      </c>
      <c r="BL145">
        <f>$AW68-SUM($BE68:BL68)</f>
        <v>488.13867376320002</v>
      </c>
      <c r="BM145">
        <f>$AW68-SUM($BE68:BM68)</f>
        <v>488.13867376320002</v>
      </c>
      <c r="BN145">
        <f>$AW68-SUM($BE68:BN68)</f>
        <v>488.13867376320002</v>
      </c>
      <c r="BO145">
        <f>$AW68-SUM($BE68:BO68)</f>
        <v>488.13867376320002</v>
      </c>
      <c r="BP145">
        <f>$AW68-SUM($BE68:BP68)</f>
        <v>488.13867376320002</v>
      </c>
      <c r="BQ145">
        <f>$AW68-SUM($BE68:BQ68)</f>
        <v>488.13867376320002</v>
      </c>
      <c r="BR145">
        <f>$AW68-SUM($BE68:BR68)</f>
        <v>488.13867376320002</v>
      </c>
      <c r="BS145">
        <f>$AW68-SUM($BE68:BS68)</f>
        <v>488.13867376320002</v>
      </c>
      <c r="BT145">
        <f>$AW68-SUM($BE68:BT68)</f>
        <v>488.13867376320002</v>
      </c>
      <c r="BU145">
        <f>$AW68-SUM($BE68:BU68)</f>
        <v>488.13867376320002</v>
      </c>
      <c r="BV145">
        <f>$AW68-SUM($BE68:BV68)</f>
        <v>488.13867376320002</v>
      </c>
      <c r="BW145">
        <f>$AW68-SUM($BE68:BW68)</f>
        <v>488.13867376320002</v>
      </c>
      <c r="BX145">
        <f>$AW68-SUM($BE68:BX68)</f>
        <v>488.13867376320002</v>
      </c>
      <c r="BY145">
        <f>$AW68-SUM($BE68:BY68)</f>
        <v>488.13867376320002</v>
      </c>
      <c r="BZ145">
        <f>$AW68-SUM($BE68:BZ68)</f>
        <v>488.13867376320002</v>
      </c>
      <c r="CA145">
        <f>$AW68-SUM($BE68:CA68)</f>
        <v>488.13867376320002</v>
      </c>
      <c r="CB145">
        <f>$AW68-SUM($BE68:CB68)</f>
        <v>488.13867376320002</v>
      </c>
      <c r="CC145">
        <f>$AW68-SUM($BE68:CC68)</f>
        <v>488.13867376320002</v>
      </c>
      <c r="CD145">
        <f>$AW68-SUM($BE68:CD68)</f>
        <v>488.13867376320002</v>
      </c>
      <c r="CE145">
        <f>$AW68-SUM($BE68:CE68)</f>
        <v>488.13867376320002</v>
      </c>
      <c r="CF145">
        <f>$AW68-SUM($BE68:CF68)</f>
        <v>488.13867376320002</v>
      </c>
      <c r="CG145">
        <f>$AW68-SUM($BE68:CG68)</f>
        <v>488.13867376320002</v>
      </c>
      <c r="CH145">
        <f>$AW68-SUM($BE68:CH68)</f>
        <v>488.13867376320002</v>
      </c>
      <c r="CI145">
        <f>$AW68-SUM($BE68:CI68)</f>
        <v>488.13867376320002</v>
      </c>
      <c r="CJ145">
        <f>$AW68-SUM($BE68:CJ68)</f>
        <v>488.13867376320002</v>
      </c>
      <c r="CK145">
        <f>$AW68-SUM($BE68:CK68)</f>
        <v>488.13867376320002</v>
      </c>
      <c r="CL145">
        <f>$AW68-SUM($BE68:CL68)</f>
        <v>488.13867376320002</v>
      </c>
      <c r="CM145">
        <f>$AW68-SUM($BE68:CM68)</f>
        <v>488.13867376320002</v>
      </c>
      <c r="CN145">
        <f>$AW68-SUM($BE68:CN68)</f>
        <v>488.13867376320002</v>
      </c>
      <c r="CO145">
        <f>$AW68-SUM($BE68:CO68)</f>
        <v>488.13867376320002</v>
      </c>
      <c r="CP145">
        <f>$AW68-SUM($BE68:CP68)</f>
        <v>488.13867376320002</v>
      </c>
      <c r="CQ145">
        <f>$AW68-SUM($BE68:CQ68)</f>
        <v>488.13867376320002</v>
      </c>
      <c r="CR145">
        <f>$AW68-SUM($BE68:CR68)</f>
        <v>488.13867376320002</v>
      </c>
      <c r="CS145">
        <f>$AW68-SUM($BE68:CS68)</f>
        <v>488.13867376320002</v>
      </c>
      <c r="CT145">
        <f>$AW68-SUM($BE68:CT68)</f>
        <v>488.13867376320002</v>
      </c>
      <c r="CU145">
        <f>$AW68-SUM($BE68:CU68)</f>
        <v>488.13867376320002</v>
      </c>
      <c r="CV145">
        <f>$AW68-SUM($BE68:CV68)</f>
        <v>488.13867376320002</v>
      </c>
      <c r="CW145">
        <f>$AW68-SUM($BE68:CW68)</f>
        <v>488.13867376320002</v>
      </c>
      <c r="CX145">
        <f>$AW68-SUM($BE68:CX68)</f>
        <v>488.13867376320002</v>
      </c>
      <c r="CY145">
        <f>$AW68-SUM($BE68:CY68)</f>
        <v>488.13867376320002</v>
      </c>
      <c r="CZ145">
        <f>$AW68-SUM($BE68:CZ68)</f>
        <v>488.13867376320002</v>
      </c>
      <c r="DA145">
        <f>$AW68-SUM($BE68:DA68)</f>
        <v>488.13867376320002</v>
      </c>
      <c r="DB145">
        <f>$AW68-SUM($BE68:DB68)</f>
        <v>488.13867376320002</v>
      </c>
      <c r="DC145">
        <f>$AW68-SUM($BE68:DC68)</f>
        <v>488.13867376320002</v>
      </c>
      <c r="DD145">
        <f>$AW68-SUM($BE68:DD68)</f>
        <v>488.13867376320002</v>
      </c>
      <c r="DE145">
        <f>$AW68-SUM($BE68:DE68)</f>
        <v>488.13867376320002</v>
      </c>
      <c r="DF145">
        <f>$AW68-SUM($BE68:DF68)</f>
        <v>488.13867376320002</v>
      </c>
      <c r="DG145">
        <f>$AW68-SUM($BE68:DG68)</f>
        <v>488.13867376320002</v>
      </c>
      <c r="DH145">
        <f>$AW68-SUM($BE68:DH68)</f>
        <v>488.13867376320002</v>
      </c>
      <c r="DI145">
        <f>$AW68-SUM($BE68:DI68)</f>
        <v>488.13867376320002</v>
      </c>
      <c r="DJ145">
        <f>$AW68-SUM($BE68:DJ68)</f>
        <v>488.13867376320002</v>
      </c>
      <c r="DK145">
        <f>$AW68-SUM($BE68:DK68)</f>
        <v>482.20155274554327</v>
      </c>
      <c r="DL145">
        <f>$AW68-SUM($BE68:DL68)</f>
        <v>457.17154428967677</v>
      </c>
      <c r="DM145">
        <f>$AW68-SUM($BE68:DM68)</f>
        <v>422.14684903199151</v>
      </c>
      <c r="DN145">
        <f>$AW68-SUM($BE68:DN68)</f>
        <v>384.88046986822724</v>
      </c>
      <c r="DO145">
        <f>$AW68-SUM($BE68:DO68)</f>
        <v>348.9401537615845</v>
      </c>
      <c r="DP145">
        <f>$AW68-SUM($BE68:DP68)</f>
        <v>315.74062233532027</v>
      </c>
      <c r="DQ145">
        <f>$AW68-SUM($BE68:DQ68)</f>
        <v>285.70097472547826</v>
      </c>
      <c r="DR145">
        <f>$AW68-SUM($BE68:DR68)</f>
        <v>258.79467527548837</v>
      </c>
      <c r="DS145">
        <f>$AW68-SUM($BE68:DS68)</f>
        <v>234.80731787214165</v>
      </c>
      <c r="DT145">
        <f>$AW68-SUM($BE68:DT68)</f>
        <v>213.45786412887355</v>
      </c>
      <c r="DU145">
        <f>$AW68-SUM($BE68:DU68)</f>
        <v>194.45517216744275</v>
      </c>
      <c r="DV145">
        <f>$AW68-SUM($BE68:DV68)</f>
        <v>177.52330917644383</v>
      </c>
      <c r="DW145" s="4">
        <f>$AW68-SUM($BE68:DW68)</f>
        <v>162.41165972128408</v>
      </c>
    </row>
    <row r="146" spans="4:127" x14ac:dyDescent="0.25">
      <c r="D146"/>
      <c r="BD146">
        <v>2049</v>
      </c>
      <c r="BE146">
        <f>$AW69-SUM($BE69:BE69)</f>
        <v>489.93583173311998</v>
      </c>
      <c r="BF146">
        <f>$AW69-SUM($BE69:BF69)</f>
        <v>489.93583173311998</v>
      </c>
      <c r="BG146">
        <f>$AW69-SUM($BE69:BG69)</f>
        <v>489.93583173311998</v>
      </c>
      <c r="BH146">
        <f>$AW69-SUM($BE69:BH69)</f>
        <v>489.93583173311998</v>
      </c>
      <c r="BI146">
        <f>$AW69-SUM($BE69:BI69)</f>
        <v>489.93583173311998</v>
      </c>
      <c r="BJ146">
        <f>$AW69-SUM($BE69:BJ69)</f>
        <v>489.93583173311998</v>
      </c>
      <c r="BK146">
        <f>$AW69-SUM($BE69:BK69)</f>
        <v>489.93583173311998</v>
      </c>
      <c r="BL146">
        <f>$AW69-SUM($BE69:BL69)</f>
        <v>489.93583173311998</v>
      </c>
      <c r="BM146">
        <f>$AW69-SUM($BE69:BM69)</f>
        <v>489.93583173311998</v>
      </c>
      <c r="BN146">
        <f>$AW69-SUM($BE69:BN69)</f>
        <v>489.93583173311998</v>
      </c>
      <c r="BO146">
        <f>$AW69-SUM($BE69:BO69)</f>
        <v>489.93583173311998</v>
      </c>
      <c r="BP146">
        <f>$AW69-SUM($BE69:BP69)</f>
        <v>489.93583173311998</v>
      </c>
      <c r="BQ146">
        <f>$AW69-SUM($BE69:BQ69)</f>
        <v>489.93583173311998</v>
      </c>
      <c r="BR146">
        <f>$AW69-SUM($BE69:BR69)</f>
        <v>489.93583173311998</v>
      </c>
      <c r="BS146">
        <f>$AW69-SUM($BE69:BS69)</f>
        <v>489.93583173311998</v>
      </c>
      <c r="BT146">
        <f>$AW69-SUM($BE69:BT69)</f>
        <v>489.93583173311998</v>
      </c>
      <c r="BU146">
        <f>$AW69-SUM($BE69:BU69)</f>
        <v>489.93583173311998</v>
      </c>
      <c r="BV146">
        <f>$AW69-SUM($BE69:BV69)</f>
        <v>489.93583173311998</v>
      </c>
      <c r="BW146">
        <f>$AW69-SUM($BE69:BW69)</f>
        <v>489.93583173311998</v>
      </c>
      <c r="BX146">
        <f>$AW69-SUM($BE69:BX69)</f>
        <v>489.93583173311998</v>
      </c>
      <c r="BY146">
        <f>$AW69-SUM($BE69:BY69)</f>
        <v>489.93583173311998</v>
      </c>
      <c r="BZ146">
        <f>$AW69-SUM($BE69:BZ69)</f>
        <v>489.93583173311998</v>
      </c>
      <c r="CA146">
        <f>$AW69-SUM($BE69:CA69)</f>
        <v>489.93583173311998</v>
      </c>
      <c r="CB146">
        <f>$AW69-SUM($BE69:CB69)</f>
        <v>489.93583173311998</v>
      </c>
      <c r="CC146">
        <f>$AW69-SUM($BE69:CC69)</f>
        <v>489.93583173311998</v>
      </c>
      <c r="CD146">
        <f>$AW69-SUM($BE69:CD69)</f>
        <v>489.93583173311998</v>
      </c>
      <c r="CE146">
        <f>$AW69-SUM($BE69:CE69)</f>
        <v>489.93583173311998</v>
      </c>
      <c r="CF146">
        <f>$AW69-SUM($BE69:CF69)</f>
        <v>489.93583173311998</v>
      </c>
      <c r="CG146">
        <f>$AW69-SUM($BE69:CG69)</f>
        <v>489.93583173311998</v>
      </c>
      <c r="CH146">
        <f>$AW69-SUM($BE69:CH69)</f>
        <v>489.93583173311998</v>
      </c>
      <c r="CI146">
        <f>$AW69-SUM($BE69:CI69)</f>
        <v>489.93583173311998</v>
      </c>
      <c r="CJ146">
        <f>$AW69-SUM($BE69:CJ69)</f>
        <v>489.93583173311998</v>
      </c>
      <c r="CK146">
        <f>$AW69-SUM($BE69:CK69)</f>
        <v>489.93583173311998</v>
      </c>
      <c r="CL146">
        <f>$AW69-SUM($BE69:CL69)</f>
        <v>489.93583173311998</v>
      </c>
      <c r="CM146">
        <f>$AW69-SUM($BE69:CM69)</f>
        <v>489.93583173311998</v>
      </c>
      <c r="CN146">
        <f>$AW69-SUM($BE69:CN69)</f>
        <v>489.93583173311998</v>
      </c>
      <c r="CO146">
        <f>$AW69-SUM($BE69:CO69)</f>
        <v>489.93583173311998</v>
      </c>
      <c r="CP146">
        <f>$AW69-SUM($BE69:CP69)</f>
        <v>489.93583173311998</v>
      </c>
      <c r="CQ146">
        <f>$AW69-SUM($BE69:CQ69)</f>
        <v>489.93583173311998</v>
      </c>
      <c r="CR146">
        <f>$AW69-SUM($BE69:CR69)</f>
        <v>489.93583173311998</v>
      </c>
      <c r="CS146">
        <f>$AW69-SUM($BE69:CS69)</f>
        <v>489.93583173311998</v>
      </c>
      <c r="CT146">
        <f>$AW69-SUM($BE69:CT69)</f>
        <v>489.93583173311998</v>
      </c>
      <c r="CU146">
        <f>$AW69-SUM($BE69:CU69)</f>
        <v>489.93583173311998</v>
      </c>
      <c r="CV146">
        <f>$AW69-SUM($BE69:CV69)</f>
        <v>489.93583173311998</v>
      </c>
      <c r="CW146">
        <f>$AW69-SUM($BE69:CW69)</f>
        <v>489.93583173311998</v>
      </c>
      <c r="CX146">
        <f>$AW69-SUM($BE69:CX69)</f>
        <v>489.93583173311998</v>
      </c>
      <c r="CY146">
        <f>$AW69-SUM($BE69:CY69)</f>
        <v>489.93583173311998</v>
      </c>
      <c r="CZ146">
        <f>$AW69-SUM($BE69:CZ69)</f>
        <v>489.93583173311998</v>
      </c>
      <c r="DA146">
        <f>$AW69-SUM($BE69:DA69)</f>
        <v>489.93583173311998</v>
      </c>
      <c r="DB146">
        <f>$AW69-SUM($BE69:DB69)</f>
        <v>489.93583173311998</v>
      </c>
      <c r="DC146">
        <f>$AW69-SUM($BE69:DC69)</f>
        <v>489.93583173311998</v>
      </c>
      <c r="DD146">
        <f>$AW69-SUM($BE69:DD69)</f>
        <v>489.93583173311998</v>
      </c>
      <c r="DE146">
        <f>$AW69-SUM($BE69:DE69)</f>
        <v>489.93583173311998</v>
      </c>
      <c r="DF146">
        <f>$AW69-SUM($BE69:DF69)</f>
        <v>489.93583173311998</v>
      </c>
      <c r="DG146">
        <f>$AW69-SUM($BE69:DG69)</f>
        <v>489.93583173311998</v>
      </c>
      <c r="DH146">
        <f>$AW69-SUM($BE69:DH69)</f>
        <v>489.93583173311998</v>
      </c>
      <c r="DI146">
        <f>$AW69-SUM($BE69:DI69)</f>
        <v>489.93583173311998</v>
      </c>
      <c r="DJ146">
        <f>$AW69-SUM($BE69:DJ69)</f>
        <v>489.93583173311998</v>
      </c>
      <c r="DK146">
        <f>$AW69-SUM($BE69:DK69)</f>
        <v>489.93583173311998</v>
      </c>
      <c r="DL146">
        <f>$AW69-SUM($BE69:DL69)</f>
        <v>483.97685228684702</v>
      </c>
      <c r="DM146">
        <f>$AW69-SUM($BE69:DM69)</f>
        <v>458.85469198643023</v>
      </c>
      <c r="DN146">
        <f>$AW69-SUM($BE69:DN69)</f>
        <v>423.701047900042</v>
      </c>
      <c r="DO146">
        <f>$AW69-SUM($BE69:DO69)</f>
        <v>386.29746680181944</v>
      </c>
      <c r="DP146">
        <f>$AW69-SUM($BE69:DP69)</f>
        <v>350.22483086680796</v>
      </c>
      <c r="DQ146">
        <f>$AW69-SUM($BE69:DQ69)</f>
        <v>316.90307023456751</v>
      </c>
      <c r="DR146">
        <f>$AW69-SUM($BE69:DR69)</f>
        <v>286.75282701938369</v>
      </c>
      <c r="DS146">
        <f>$AW69-SUM($BE69:DS69)</f>
        <v>259.74746786956541</v>
      </c>
      <c r="DT146">
        <f>$AW69-SUM($BE69:DT69)</f>
        <v>235.67179730266128</v>
      </c>
      <c r="DU146">
        <f>$AW69-SUM($BE69:DU69)</f>
        <v>214.24374224585171</v>
      </c>
      <c r="DV146">
        <f>$AW69-SUM($BE69:DV69)</f>
        <v>195.17108893707439</v>
      </c>
      <c r="DW146" s="4">
        <f>$AW69-SUM($BE69:DW69)</f>
        <v>178.17688867563282</v>
      </c>
    </row>
    <row r="147" spans="4:127" x14ac:dyDescent="0.25">
      <c r="D147"/>
      <c r="BD147">
        <v>2050</v>
      </c>
      <c r="BE147">
        <f>$AW70-SUM($BE70:BE70)</f>
        <v>491.73731442431995</v>
      </c>
      <c r="BF147">
        <f>$AW70-SUM($BE70:BF70)</f>
        <v>491.73731442431995</v>
      </c>
      <c r="BG147">
        <f>$AW70-SUM($BE70:BG70)</f>
        <v>491.73731442431995</v>
      </c>
      <c r="BH147">
        <f>$AW70-SUM($BE70:BH70)</f>
        <v>491.73731442431995</v>
      </c>
      <c r="BI147">
        <f>$AW70-SUM($BE70:BI70)</f>
        <v>491.73731442431995</v>
      </c>
      <c r="BJ147">
        <f>$AW70-SUM($BE70:BJ70)</f>
        <v>491.73731442431995</v>
      </c>
      <c r="BK147">
        <f>$AW70-SUM($BE70:BK70)</f>
        <v>491.73731442431995</v>
      </c>
      <c r="BL147">
        <f>$AW70-SUM($BE70:BL70)</f>
        <v>491.73731442431995</v>
      </c>
      <c r="BM147">
        <f>$AW70-SUM($BE70:BM70)</f>
        <v>491.73731442431995</v>
      </c>
      <c r="BN147">
        <f>$AW70-SUM($BE70:BN70)</f>
        <v>491.73731442431995</v>
      </c>
      <c r="BO147">
        <f>$AW70-SUM($BE70:BO70)</f>
        <v>491.73731442431995</v>
      </c>
      <c r="BP147">
        <f>$AW70-SUM($BE70:BP70)</f>
        <v>491.73731442431995</v>
      </c>
      <c r="BQ147">
        <f>$AW70-SUM($BE70:BQ70)</f>
        <v>491.73731442431995</v>
      </c>
      <c r="BR147">
        <f>$AW70-SUM($BE70:BR70)</f>
        <v>491.73731442431995</v>
      </c>
      <c r="BS147">
        <f>$AW70-SUM($BE70:BS70)</f>
        <v>491.73731442431995</v>
      </c>
      <c r="BT147">
        <f>$AW70-SUM($BE70:BT70)</f>
        <v>491.73731442431995</v>
      </c>
      <c r="BU147">
        <f>$AW70-SUM($BE70:BU70)</f>
        <v>491.73731442431995</v>
      </c>
      <c r="BV147">
        <f>$AW70-SUM($BE70:BV70)</f>
        <v>491.73731442431995</v>
      </c>
      <c r="BW147">
        <f>$AW70-SUM($BE70:BW70)</f>
        <v>491.73731442431995</v>
      </c>
      <c r="BX147">
        <f>$AW70-SUM($BE70:BX70)</f>
        <v>491.73731442431995</v>
      </c>
      <c r="BY147">
        <f>$AW70-SUM($BE70:BY70)</f>
        <v>491.73731442431995</v>
      </c>
      <c r="BZ147">
        <f>$AW70-SUM($BE70:BZ70)</f>
        <v>491.73731442431995</v>
      </c>
      <c r="CA147">
        <f>$AW70-SUM($BE70:CA70)</f>
        <v>491.73731442431995</v>
      </c>
      <c r="CB147">
        <f>$AW70-SUM($BE70:CB70)</f>
        <v>491.73731442431995</v>
      </c>
      <c r="CC147">
        <f>$AW70-SUM($BE70:CC70)</f>
        <v>491.73731442431995</v>
      </c>
      <c r="CD147">
        <f>$AW70-SUM($BE70:CD70)</f>
        <v>491.73731442431995</v>
      </c>
      <c r="CE147">
        <f>$AW70-SUM($BE70:CE70)</f>
        <v>491.73731442431995</v>
      </c>
      <c r="CF147">
        <f>$AW70-SUM($BE70:CF70)</f>
        <v>491.73731442431995</v>
      </c>
      <c r="CG147">
        <f>$AW70-SUM($BE70:CG70)</f>
        <v>491.73731442431995</v>
      </c>
      <c r="CH147">
        <f>$AW70-SUM($BE70:CH70)</f>
        <v>491.73731442431995</v>
      </c>
      <c r="CI147">
        <f>$AW70-SUM($BE70:CI70)</f>
        <v>491.73731442431995</v>
      </c>
      <c r="CJ147">
        <f>$AW70-SUM($BE70:CJ70)</f>
        <v>491.73731442431995</v>
      </c>
      <c r="CK147">
        <f>$AW70-SUM($BE70:CK70)</f>
        <v>491.73731442431995</v>
      </c>
      <c r="CL147">
        <f>$AW70-SUM($BE70:CL70)</f>
        <v>491.73731442431995</v>
      </c>
      <c r="CM147">
        <f>$AW70-SUM($BE70:CM70)</f>
        <v>491.73731442431995</v>
      </c>
      <c r="CN147">
        <f>$AW70-SUM($BE70:CN70)</f>
        <v>491.73731442431995</v>
      </c>
      <c r="CO147">
        <f>$AW70-SUM($BE70:CO70)</f>
        <v>491.73731442431995</v>
      </c>
      <c r="CP147">
        <f>$AW70-SUM($BE70:CP70)</f>
        <v>491.73731442431995</v>
      </c>
      <c r="CQ147">
        <f>$AW70-SUM($BE70:CQ70)</f>
        <v>491.73731442431995</v>
      </c>
      <c r="CR147">
        <f>$AW70-SUM($BE70:CR70)</f>
        <v>491.73731442431995</v>
      </c>
      <c r="CS147">
        <f>$AW70-SUM($BE70:CS70)</f>
        <v>491.73731442431995</v>
      </c>
      <c r="CT147">
        <f>$AW70-SUM($BE70:CT70)</f>
        <v>491.73731442431995</v>
      </c>
      <c r="CU147">
        <f>$AW70-SUM($BE70:CU70)</f>
        <v>491.73731442431995</v>
      </c>
      <c r="CV147">
        <f>$AW70-SUM($BE70:CV70)</f>
        <v>491.73731442431995</v>
      </c>
      <c r="CW147">
        <f>$AW70-SUM($BE70:CW70)</f>
        <v>491.73731442431995</v>
      </c>
      <c r="CX147">
        <f>$AW70-SUM($BE70:CX70)</f>
        <v>491.73731442431995</v>
      </c>
      <c r="CY147">
        <f>$AW70-SUM($BE70:CY70)</f>
        <v>491.73731442431995</v>
      </c>
      <c r="CZ147">
        <f>$AW70-SUM($BE70:CZ70)</f>
        <v>491.73731442431995</v>
      </c>
      <c r="DA147">
        <f>$AW70-SUM($BE70:DA70)</f>
        <v>491.73731442431995</v>
      </c>
      <c r="DB147">
        <f>$AW70-SUM($BE70:DB70)</f>
        <v>491.73731442431995</v>
      </c>
      <c r="DC147">
        <f>$AW70-SUM($BE70:DC70)</f>
        <v>491.73731442431995</v>
      </c>
      <c r="DD147">
        <f>$AW70-SUM($BE70:DD70)</f>
        <v>491.73731442431995</v>
      </c>
      <c r="DE147">
        <f>$AW70-SUM($BE70:DE70)</f>
        <v>491.73731442431995</v>
      </c>
      <c r="DF147">
        <f>$AW70-SUM($BE70:DF70)</f>
        <v>491.73731442431995</v>
      </c>
      <c r="DG147">
        <f>$AW70-SUM($BE70:DG70)</f>
        <v>491.73731442431995</v>
      </c>
      <c r="DH147">
        <f>$AW70-SUM($BE70:DH70)</f>
        <v>491.73731442431995</v>
      </c>
      <c r="DI147">
        <f>$AW70-SUM($BE70:DI70)</f>
        <v>491.73731442431995</v>
      </c>
      <c r="DJ147">
        <f>$AW70-SUM($BE70:DJ70)</f>
        <v>491.73731442431995</v>
      </c>
      <c r="DK147">
        <f>$AW70-SUM($BE70:DK70)</f>
        <v>491.73731442431995</v>
      </c>
      <c r="DL147">
        <f>$AW70-SUM($BE70:DL70)</f>
        <v>491.73731442431995</v>
      </c>
      <c r="DM147">
        <f>$AW70-SUM($BE70:DM70)</f>
        <v>485.75642394881748</v>
      </c>
      <c r="DN147">
        <f>$AW70-SUM($BE70:DN70)</f>
        <v>460.54189004758308</v>
      </c>
      <c r="DO147">
        <f>$AW70-SUM($BE70:DO70)</f>
        <v>425.25898682713603</v>
      </c>
      <c r="DP147">
        <f>$AW70-SUM($BE70:DP70)</f>
        <v>387.71787362864029</v>
      </c>
      <c r="DQ147">
        <f>$AW70-SUM($BE70:DQ70)</f>
        <v>351.51259944785488</v>
      </c>
      <c r="DR147">
        <f>$AW70-SUM($BE70:DR70)</f>
        <v>318.06831547453339</v>
      </c>
      <c r="DS147">
        <f>$AW70-SUM($BE70:DS70)</f>
        <v>287.80721051426042</v>
      </c>
      <c r="DT147">
        <f>$AW70-SUM($BE70:DT70)</f>
        <v>260.70255328512849</v>
      </c>
      <c r="DU147">
        <f>$AW70-SUM($BE70:DU70)</f>
        <v>236.5383570358878</v>
      </c>
      <c r="DV147">
        <f>$AW70-SUM($BE70:DV70)</f>
        <v>215.03151151757157</v>
      </c>
      <c r="DW147" s="4">
        <f>$AW70-SUM($BE70:DW70)</f>
        <v>195.88872850489105</v>
      </c>
    </row>
    <row r="148" spans="4:127" x14ac:dyDescent="0.25">
      <c r="D148"/>
      <c r="BD148">
        <v>2051</v>
      </c>
      <c r="BE148">
        <f>$AW71-SUM($BE71:BE71)</f>
        <v>493.54775647295997</v>
      </c>
      <c r="BF148">
        <f>$AW71-SUM($BE71:BF71)</f>
        <v>493.54775647295997</v>
      </c>
      <c r="BG148">
        <f>$AW71-SUM($BE71:BG71)</f>
        <v>493.54775647295997</v>
      </c>
      <c r="BH148">
        <f>$AW71-SUM($BE71:BH71)</f>
        <v>493.54775647295997</v>
      </c>
      <c r="BI148">
        <f>$AW71-SUM($BE71:BI71)</f>
        <v>493.54775647295997</v>
      </c>
      <c r="BJ148">
        <f>$AW71-SUM($BE71:BJ71)</f>
        <v>493.54775647295997</v>
      </c>
      <c r="BK148">
        <f>$AW71-SUM($BE71:BK71)</f>
        <v>493.54775647295997</v>
      </c>
      <c r="BL148">
        <f>$AW71-SUM($BE71:BL71)</f>
        <v>493.54775647295997</v>
      </c>
      <c r="BM148">
        <f>$AW71-SUM($BE71:BM71)</f>
        <v>493.54775647295997</v>
      </c>
      <c r="BN148">
        <f>$AW71-SUM($BE71:BN71)</f>
        <v>493.54775647295997</v>
      </c>
      <c r="BO148">
        <f>$AW71-SUM($BE71:BO71)</f>
        <v>493.54775647295997</v>
      </c>
      <c r="BP148">
        <f>$AW71-SUM($BE71:BP71)</f>
        <v>493.54775647295997</v>
      </c>
      <c r="BQ148">
        <f>$AW71-SUM($BE71:BQ71)</f>
        <v>493.54775647295997</v>
      </c>
      <c r="BR148">
        <f>$AW71-SUM($BE71:BR71)</f>
        <v>493.54775647295997</v>
      </c>
      <c r="BS148">
        <f>$AW71-SUM($BE71:BS71)</f>
        <v>493.54775647295997</v>
      </c>
      <c r="BT148">
        <f>$AW71-SUM($BE71:BT71)</f>
        <v>493.54775647295997</v>
      </c>
      <c r="BU148">
        <f>$AW71-SUM($BE71:BU71)</f>
        <v>493.54775647295997</v>
      </c>
      <c r="BV148">
        <f>$AW71-SUM($BE71:BV71)</f>
        <v>493.54775647295997</v>
      </c>
      <c r="BW148">
        <f>$AW71-SUM($BE71:BW71)</f>
        <v>493.54775647295997</v>
      </c>
      <c r="BX148">
        <f>$AW71-SUM($BE71:BX71)</f>
        <v>493.54775647295997</v>
      </c>
      <c r="BY148">
        <f>$AW71-SUM($BE71:BY71)</f>
        <v>493.54775647295997</v>
      </c>
      <c r="BZ148">
        <f>$AW71-SUM($BE71:BZ71)</f>
        <v>493.54775647295997</v>
      </c>
      <c r="CA148">
        <f>$AW71-SUM($BE71:CA71)</f>
        <v>493.54775647295997</v>
      </c>
      <c r="CB148">
        <f>$AW71-SUM($BE71:CB71)</f>
        <v>493.54775647295997</v>
      </c>
      <c r="CC148">
        <f>$AW71-SUM($BE71:CC71)</f>
        <v>493.54775647295997</v>
      </c>
      <c r="CD148">
        <f>$AW71-SUM($BE71:CD71)</f>
        <v>493.54775647295997</v>
      </c>
      <c r="CE148">
        <f>$AW71-SUM($BE71:CE71)</f>
        <v>493.54775647295997</v>
      </c>
      <c r="CF148">
        <f>$AW71-SUM($BE71:CF71)</f>
        <v>493.54775647295997</v>
      </c>
      <c r="CG148">
        <f>$AW71-SUM($BE71:CG71)</f>
        <v>493.54775647295997</v>
      </c>
      <c r="CH148">
        <f>$AW71-SUM($BE71:CH71)</f>
        <v>493.54775647295997</v>
      </c>
      <c r="CI148">
        <f>$AW71-SUM($BE71:CI71)</f>
        <v>493.54775647295997</v>
      </c>
      <c r="CJ148">
        <f>$AW71-SUM($BE71:CJ71)</f>
        <v>493.54775647295997</v>
      </c>
      <c r="CK148">
        <f>$AW71-SUM($BE71:CK71)</f>
        <v>493.54775647295997</v>
      </c>
      <c r="CL148">
        <f>$AW71-SUM($BE71:CL71)</f>
        <v>493.54775647295997</v>
      </c>
      <c r="CM148">
        <f>$AW71-SUM($BE71:CM71)</f>
        <v>493.54775647295997</v>
      </c>
      <c r="CN148">
        <f>$AW71-SUM($BE71:CN71)</f>
        <v>493.54775647295997</v>
      </c>
      <c r="CO148">
        <f>$AW71-SUM($BE71:CO71)</f>
        <v>493.54775647295997</v>
      </c>
      <c r="CP148">
        <f>$AW71-SUM($BE71:CP71)</f>
        <v>493.54775647295997</v>
      </c>
      <c r="CQ148">
        <f>$AW71-SUM($BE71:CQ71)</f>
        <v>493.54775647295997</v>
      </c>
      <c r="CR148">
        <f>$AW71-SUM($BE71:CR71)</f>
        <v>493.54775647295997</v>
      </c>
      <c r="CS148">
        <f>$AW71-SUM($BE71:CS71)</f>
        <v>493.54775647295997</v>
      </c>
      <c r="CT148">
        <f>$AW71-SUM($BE71:CT71)</f>
        <v>493.54775647295997</v>
      </c>
      <c r="CU148">
        <f>$AW71-SUM($BE71:CU71)</f>
        <v>493.54775647295997</v>
      </c>
      <c r="CV148">
        <f>$AW71-SUM($BE71:CV71)</f>
        <v>493.54775647295997</v>
      </c>
      <c r="CW148">
        <f>$AW71-SUM($BE71:CW71)</f>
        <v>493.54775647295997</v>
      </c>
      <c r="CX148">
        <f>$AW71-SUM($BE71:CX71)</f>
        <v>493.54775647295997</v>
      </c>
      <c r="CY148">
        <f>$AW71-SUM($BE71:CY71)</f>
        <v>493.54775647295997</v>
      </c>
      <c r="CZ148">
        <f>$AW71-SUM($BE71:CZ71)</f>
        <v>493.54775647295997</v>
      </c>
      <c r="DA148">
        <f>$AW71-SUM($BE71:DA71)</f>
        <v>493.54775647295997</v>
      </c>
      <c r="DB148">
        <f>$AW71-SUM($BE71:DB71)</f>
        <v>493.54775647295997</v>
      </c>
      <c r="DC148">
        <f>$AW71-SUM($BE71:DC71)</f>
        <v>493.54775647295997</v>
      </c>
      <c r="DD148">
        <f>$AW71-SUM($BE71:DD71)</f>
        <v>493.54775647295997</v>
      </c>
      <c r="DE148">
        <f>$AW71-SUM($BE71:DE71)</f>
        <v>493.54775647295997</v>
      </c>
      <c r="DF148">
        <f>$AW71-SUM($BE71:DF71)</f>
        <v>493.54775647295997</v>
      </c>
      <c r="DG148">
        <f>$AW71-SUM($BE71:DG71)</f>
        <v>493.54775647295997</v>
      </c>
      <c r="DH148">
        <f>$AW71-SUM($BE71:DH71)</f>
        <v>493.54775647295997</v>
      </c>
      <c r="DI148">
        <f>$AW71-SUM($BE71:DI71)</f>
        <v>493.54775647295997</v>
      </c>
      <c r="DJ148">
        <f>$AW71-SUM($BE71:DJ71)</f>
        <v>493.54775647295997</v>
      </c>
      <c r="DK148">
        <f>$AW71-SUM($BE71:DK71)</f>
        <v>493.54775647295997</v>
      </c>
      <c r="DL148">
        <f>$AW71-SUM($BE71:DL71)</f>
        <v>493.54775647295997</v>
      </c>
      <c r="DM148">
        <f>$AW71-SUM($BE71:DM71)</f>
        <v>493.54775647295997</v>
      </c>
      <c r="DN148">
        <f>$AW71-SUM($BE71:DN71)</f>
        <v>487.54484599757643</v>
      </c>
      <c r="DO148">
        <f>$AW71-SUM($BE71:DO71)</f>
        <v>462.23747909166127</v>
      </c>
      <c r="DP148">
        <f>$AW71-SUM($BE71:DP71)</f>
        <v>426.82467388957758</v>
      </c>
      <c r="DQ148">
        <f>$AW71-SUM($BE71:DQ71)</f>
        <v>389.14534459908793</v>
      </c>
      <c r="DR148">
        <f>$AW71-SUM($BE71:DR71)</f>
        <v>352.80677251953273</v>
      </c>
      <c r="DS148">
        <f>$AW71-SUM($BE71:DS71)</f>
        <v>319.23935585683449</v>
      </c>
      <c r="DT148">
        <f>$AW71-SUM($BE71:DT71)</f>
        <v>288.86683780007417</v>
      </c>
      <c r="DU148">
        <f>$AW71-SUM($BE71:DU71)</f>
        <v>261.66238865008904</v>
      </c>
      <c r="DV148">
        <f>$AW71-SUM($BE71:DV71)</f>
        <v>237.40922645159469</v>
      </c>
      <c r="DW148" s="4">
        <f>$AW71-SUM($BE71:DW71)</f>
        <v>215.82319862126383</v>
      </c>
    </row>
    <row r="149" spans="4:127" x14ac:dyDescent="0.25">
      <c r="D149"/>
      <c r="BD149">
        <v>2052</v>
      </c>
      <c r="BE149">
        <f>$AW72-SUM($BE72:BE72)</f>
        <v>495.36887777855998</v>
      </c>
      <c r="BF149">
        <f>$AW72-SUM($BE72:BF72)</f>
        <v>495.36887777855998</v>
      </c>
      <c r="BG149">
        <f>$AW72-SUM($BE72:BG72)</f>
        <v>495.36887777855998</v>
      </c>
      <c r="BH149">
        <f>$AW72-SUM($BE72:BH72)</f>
        <v>495.36887777855998</v>
      </c>
      <c r="BI149">
        <f>$AW72-SUM($BE72:BI72)</f>
        <v>495.36887777855998</v>
      </c>
      <c r="BJ149">
        <f>$AW72-SUM($BE72:BJ72)</f>
        <v>495.36887777855998</v>
      </c>
      <c r="BK149">
        <f>$AW72-SUM($BE72:BK72)</f>
        <v>495.36887777855998</v>
      </c>
      <c r="BL149">
        <f>$AW72-SUM($BE72:BL72)</f>
        <v>495.36887777855998</v>
      </c>
      <c r="BM149">
        <f>$AW72-SUM($BE72:BM72)</f>
        <v>495.36887777855998</v>
      </c>
      <c r="BN149">
        <f>$AW72-SUM($BE72:BN72)</f>
        <v>495.36887777855998</v>
      </c>
      <c r="BO149">
        <f>$AW72-SUM($BE72:BO72)</f>
        <v>495.36887777855998</v>
      </c>
      <c r="BP149">
        <f>$AW72-SUM($BE72:BP72)</f>
        <v>495.36887777855998</v>
      </c>
      <c r="BQ149">
        <f>$AW72-SUM($BE72:BQ72)</f>
        <v>495.36887777855998</v>
      </c>
      <c r="BR149">
        <f>$AW72-SUM($BE72:BR72)</f>
        <v>495.36887777855998</v>
      </c>
      <c r="BS149">
        <f>$AW72-SUM($BE72:BS72)</f>
        <v>495.36887777855998</v>
      </c>
      <c r="BT149">
        <f>$AW72-SUM($BE72:BT72)</f>
        <v>495.36887777855998</v>
      </c>
      <c r="BU149">
        <f>$AW72-SUM($BE72:BU72)</f>
        <v>495.36887777855998</v>
      </c>
      <c r="BV149">
        <f>$AW72-SUM($BE72:BV72)</f>
        <v>495.36887777855998</v>
      </c>
      <c r="BW149">
        <f>$AW72-SUM($BE72:BW72)</f>
        <v>495.36887777855998</v>
      </c>
      <c r="BX149">
        <f>$AW72-SUM($BE72:BX72)</f>
        <v>495.36887777855998</v>
      </c>
      <c r="BY149">
        <f>$AW72-SUM($BE72:BY72)</f>
        <v>495.36887777855998</v>
      </c>
      <c r="BZ149">
        <f>$AW72-SUM($BE72:BZ72)</f>
        <v>495.36887777855998</v>
      </c>
      <c r="CA149">
        <f>$AW72-SUM($BE72:CA72)</f>
        <v>495.36887777855998</v>
      </c>
      <c r="CB149">
        <f>$AW72-SUM($BE72:CB72)</f>
        <v>495.36887777855998</v>
      </c>
      <c r="CC149">
        <f>$AW72-SUM($BE72:CC72)</f>
        <v>495.36887777855998</v>
      </c>
      <c r="CD149">
        <f>$AW72-SUM($BE72:CD72)</f>
        <v>495.36887777855998</v>
      </c>
      <c r="CE149">
        <f>$AW72-SUM($BE72:CE72)</f>
        <v>495.36887777855998</v>
      </c>
      <c r="CF149">
        <f>$AW72-SUM($BE72:CF72)</f>
        <v>495.36887777855998</v>
      </c>
      <c r="CG149">
        <f>$AW72-SUM($BE72:CG72)</f>
        <v>495.36887777855998</v>
      </c>
      <c r="CH149">
        <f>$AW72-SUM($BE72:CH72)</f>
        <v>495.36887777855998</v>
      </c>
      <c r="CI149">
        <f>$AW72-SUM($BE72:CI72)</f>
        <v>495.36887777855998</v>
      </c>
      <c r="CJ149">
        <f>$AW72-SUM($BE72:CJ72)</f>
        <v>495.36887777855998</v>
      </c>
      <c r="CK149">
        <f>$AW72-SUM($BE72:CK72)</f>
        <v>495.36887777855998</v>
      </c>
      <c r="CL149">
        <f>$AW72-SUM($BE72:CL72)</f>
        <v>495.36887777855998</v>
      </c>
      <c r="CM149">
        <f>$AW72-SUM($BE72:CM72)</f>
        <v>495.36887777855998</v>
      </c>
      <c r="CN149">
        <f>$AW72-SUM($BE72:CN72)</f>
        <v>495.36887777855998</v>
      </c>
      <c r="CO149">
        <f>$AW72-SUM($BE72:CO72)</f>
        <v>495.36887777855998</v>
      </c>
      <c r="CP149">
        <f>$AW72-SUM($BE72:CP72)</f>
        <v>495.36887777855998</v>
      </c>
      <c r="CQ149">
        <f>$AW72-SUM($BE72:CQ72)</f>
        <v>495.36887777855998</v>
      </c>
      <c r="CR149">
        <f>$AW72-SUM($BE72:CR72)</f>
        <v>495.36887777855998</v>
      </c>
      <c r="CS149">
        <f>$AW72-SUM($BE72:CS72)</f>
        <v>495.36887777855998</v>
      </c>
      <c r="CT149">
        <f>$AW72-SUM($BE72:CT72)</f>
        <v>495.36887777855998</v>
      </c>
      <c r="CU149">
        <f>$AW72-SUM($BE72:CU72)</f>
        <v>495.36887777855998</v>
      </c>
      <c r="CV149">
        <f>$AW72-SUM($BE72:CV72)</f>
        <v>495.36887777855998</v>
      </c>
      <c r="CW149">
        <f>$AW72-SUM($BE72:CW72)</f>
        <v>495.36887777855998</v>
      </c>
      <c r="CX149">
        <f>$AW72-SUM($BE72:CX72)</f>
        <v>495.36887777855998</v>
      </c>
      <c r="CY149">
        <f>$AW72-SUM($BE72:CY72)</f>
        <v>495.36887777855998</v>
      </c>
      <c r="CZ149">
        <f>$AW72-SUM($BE72:CZ72)</f>
        <v>495.36887777855998</v>
      </c>
      <c r="DA149">
        <f>$AW72-SUM($BE72:DA72)</f>
        <v>495.36887777855998</v>
      </c>
      <c r="DB149">
        <f>$AW72-SUM($BE72:DB72)</f>
        <v>495.36887777855998</v>
      </c>
      <c r="DC149">
        <f>$AW72-SUM($BE72:DC72)</f>
        <v>495.36887777855998</v>
      </c>
      <c r="DD149">
        <f>$AW72-SUM($BE72:DD72)</f>
        <v>495.36887777855998</v>
      </c>
      <c r="DE149">
        <f>$AW72-SUM($BE72:DE72)</f>
        <v>495.36887777855998</v>
      </c>
      <c r="DF149">
        <f>$AW72-SUM($BE72:DF72)</f>
        <v>495.36887777855998</v>
      </c>
      <c r="DG149">
        <f>$AW72-SUM($BE72:DG72)</f>
        <v>495.36887777855998</v>
      </c>
      <c r="DH149">
        <f>$AW72-SUM($BE72:DH72)</f>
        <v>495.36887777855998</v>
      </c>
      <c r="DI149">
        <f>$AW72-SUM($BE72:DI72)</f>
        <v>495.36887777855998</v>
      </c>
      <c r="DJ149">
        <f>$AW72-SUM($BE72:DJ72)</f>
        <v>495.36887777855998</v>
      </c>
      <c r="DK149">
        <f>$AW72-SUM($BE72:DK72)</f>
        <v>495.36887777855998</v>
      </c>
      <c r="DL149">
        <f>$AW72-SUM($BE72:DL72)</f>
        <v>495.36887777855998</v>
      </c>
      <c r="DM149">
        <f>$AW72-SUM($BE72:DM72)</f>
        <v>495.36887777855998</v>
      </c>
      <c r="DN149">
        <f>$AW72-SUM($BE72:DN72)</f>
        <v>495.36887777855998</v>
      </c>
      <c r="DO149">
        <f>$AW72-SUM($BE72:DO72)</f>
        <v>489.34381741389222</v>
      </c>
      <c r="DP149">
        <f>$AW72-SUM($BE72:DP72)</f>
        <v>463.94306990912611</v>
      </c>
      <c r="DQ149">
        <f>$AW72-SUM($BE72:DQ72)</f>
        <v>428.39959647241108</v>
      </c>
      <c r="DR149">
        <f>$AW72-SUM($BE72:DR72)</f>
        <v>390.5812357944788</v>
      </c>
      <c r="DS149">
        <f>$AW72-SUM($BE72:DS72)</f>
        <v>354.10857953165822</v>
      </c>
      <c r="DT149">
        <f>$AW72-SUM($BE72:DT72)</f>
        <v>320.41730385662197</v>
      </c>
      <c r="DU149">
        <f>$AW72-SUM($BE72:DU72)</f>
        <v>289.93271551079141</v>
      </c>
      <c r="DV149">
        <f>$AW72-SUM($BE72:DV72)</f>
        <v>262.62788579721462</v>
      </c>
      <c r="DW149" s="4">
        <f>$AW72-SUM($BE72:DW72)</f>
        <v>238.28523286590143</v>
      </c>
    </row>
    <row r="150" spans="4:127" x14ac:dyDescent="0.25">
      <c r="D150"/>
      <c r="BD150">
        <v>2053</v>
      </c>
      <c r="BE150">
        <f>$AW73-SUM($BE73:BE73)</f>
        <v>497.20169004671999</v>
      </c>
      <c r="BF150">
        <f>$AW73-SUM($BE73:BF73)</f>
        <v>497.20169004671999</v>
      </c>
      <c r="BG150">
        <f>$AW73-SUM($BE73:BG73)</f>
        <v>497.20169004671999</v>
      </c>
      <c r="BH150">
        <f>$AW73-SUM($BE73:BH73)</f>
        <v>497.20169004671999</v>
      </c>
      <c r="BI150">
        <f>$AW73-SUM($BE73:BI73)</f>
        <v>497.20169004671999</v>
      </c>
      <c r="BJ150">
        <f>$AW73-SUM($BE73:BJ73)</f>
        <v>497.20169004671999</v>
      </c>
      <c r="BK150">
        <f>$AW73-SUM($BE73:BK73)</f>
        <v>497.20169004671999</v>
      </c>
      <c r="BL150">
        <f>$AW73-SUM($BE73:BL73)</f>
        <v>497.20169004671999</v>
      </c>
      <c r="BM150">
        <f>$AW73-SUM($BE73:BM73)</f>
        <v>497.20169004671999</v>
      </c>
      <c r="BN150">
        <f>$AW73-SUM($BE73:BN73)</f>
        <v>497.20169004671999</v>
      </c>
      <c r="BO150">
        <f>$AW73-SUM($BE73:BO73)</f>
        <v>497.20169004671999</v>
      </c>
      <c r="BP150">
        <f>$AW73-SUM($BE73:BP73)</f>
        <v>497.20169004671999</v>
      </c>
      <c r="BQ150">
        <f>$AW73-SUM($BE73:BQ73)</f>
        <v>497.20169004671999</v>
      </c>
      <c r="BR150">
        <f>$AW73-SUM($BE73:BR73)</f>
        <v>497.20169004671999</v>
      </c>
      <c r="BS150">
        <f>$AW73-SUM($BE73:BS73)</f>
        <v>497.20169004671999</v>
      </c>
      <c r="BT150">
        <f>$AW73-SUM($BE73:BT73)</f>
        <v>497.20169004671999</v>
      </c>
      <c r="BU150">
        <f>$AW73-SUM($BE73:BU73)</f>
        <v>497.20169004671999</v>
      </c>
      <c r="BV150">
        <f>$AW73-SUM($BE73:BV73)</f>
        <v>497.20169004671999</v>
      </c>
      <c r="BW150">
        <f>$AW73-SUM($BE73:BW73)</f>
        <v>497.20169004671999</v>
      </c>
      <c r="BX150">
        <f>$AW73-SUM($BE73:BX73)</f>
        <v>497.20169004671999</v>
      </c>
      <c r="BY150">
        <f>$AW73-SUM($BE73:BY73)</f>
        <v>497.20169004671999</v>
      </c>
      <c r="BZ150">
        <f>$AW73-SUM($BE73:BZ73)</f>
        <v>497.20169004671999</v>
      </c>
      <c r="CA150">
        <f>$AW73-SUM($BE73:CA73)</f>
        <v>497.20169004671999</v>
      </c>
      <c r="CB150">
        <f>$AW73-SUM($BE73:CB73)</f>
        <v>497.20169004671999</v>
      </c>
      <c r="CC150">
        <f>$AW73-SUM($BE73:CC73)</f>
        <v>497.20169004671999</v>
      </c>
      <c r="CD150">
        <f>$AW73-SUM($BE73:CD73)</f>
        <v>497.20169004671999</v>
      </c>
      <c r="CE150">
        <f>$AW73-SUM($BE73:CE73)</f>
        <v>497.20169004671999</v>
      </c>
      <c r="CF150">
        <f>$AW73-SUM($BE73:CF73)</f>
        <v>497.20169004671999</v>
      </c>
      <c r="CG150">
        <f>$AW73-SUM($BE73:CG73)</f>
        <v>497.20169004671999</v>
      </c>
      <c r="CH150">
        <f>$AW73-SUM($BE73:CH73)</f>
        <v>497.20169004671999</v>
      </c>
      <c r="CI150">
        <f>$AW73-SUM($BE73:CI73)</f>
        <v>497.20169004671999</v>
      </c>
      <c r="CJ150">
        <f>$AW73-SUM($BE73:CJ73)</f>
        <v>497.20169004671999</v>
      </c>
      <c r="CK150">
        <f>$AW73-SUM($BE73:CK73)</f>
        <v>497.20169004671999</v>
      </c>
      <c r="CL150">
        <f>$AW73-SUM($BE73:CL73)</f>
        <v>497.20169004671999</v>
      </c>
      <c r="CM150">
        <f>$AW73-SUM($BE73:CM73)</f>
        <v>497.20169004671999</v>
      </c>
      <c r="CN150">
        <f>$AW73-SUM($BE73:CN73)</f>
        <v>497.20169004671999</v>
      </c>
      <c r="CO150">
        <f>$AW73-SUM($BE73:CO73)</f>
        <v>497.20169004671999</v>
      </c>
      <c r="CP150">
        <f>$AW73-SUM($BE73:CP73)</f>
        <v>497.20169004671999</v>
      </c>
      <c r="CQ150">
        <f>$AW73-SUM($BE73:CQ73)</f>
        <v>497.20169004671999</v>
      </c>
      <c r="CR150">
        <f>$AW73-SUM($BE73:CR73)</f>
        <v>497.20169004671999</v>
      </c>
      <c r="CS150">
        <f>$AW73-SUM($BE73:CS73)</f>
        <v>497.20169004671999</v>
      </c>
      <c r="CT150">
        <f>$AW73-SUM($BE73:CT73)</f>
        <v>497.20169004671999</v>
      </c>
      <c r="CU150">
        <f>$AW73-SUM($BE73:CU73)</f>
        <v>497.20169004671999</v>
      </c>
      <c r="CV150">
        <f>$AW73-SUM($BE73:CV73)</f>
        <v>497.20169004671999</v>
      </c>
      <c r="CW150">
        <f>$AW73-SUM($BE73:CW73)</f>
        <v>497.20169004671999</v>
      </c>
      <c r="CX150">
        <f>$AW73-SUM($BE73:CX73)</f>
        <v>497.20169004671999</v>
      </c>
      <c r="CY150">
        <f>$AW73-SUM($BE73:CY73)</f>
        <v>497.20169004671999</v>
      </c>
      <c r="CZ150">
        <f>$AW73-SUM($BE73:CZ73)</f>
        <v>497.20169004671999</v>
      </c>
      <c r="DA150">
        <f>$AW73-SUM($BE73:DA73)</f>
        <v>497.20169004671999</v>
      </c>
      <c r="DB150">
        <f>$AW73-SUM($BE73:DB73)</f>
        <v>497.20169004671999</v>
      </c>
      <c r="DC150">
        <f>$AW73-SUM($BE73:DC73)</f>
        <v>497.20169004671999</v>
      </c>
      <c r="DD150">
        <f>$AW73-SUM($BE73:DD73)</f>
        <v>497.20169004671999</v>
      </c>
      <c r="DE150">
        <f>$AW73-SUM($BE73:DE73)</f>
        <v>497.20169004671999</v>
      </c>
      <c r="DF150">
        <f>$AW73-SUM($BE73:DF73)</f>
        <v>497.20169004671999</v>
      </c>
      <c r="DG150">
        <f>$AW73-SUM($BE73:DG73)</f>
        <v>497.20169004671999</v>
      </c>
      <c r="DH150">
        <f>$AW73-SUM($BE73:DH73)</f>
        <v>497.20169004671999</v>
      </c>
      <c r="DI150">
        <f>$AW73-SUM($BE73:DI73)</f>
        <v>497.20169004671999</v>
      </c>
      <c r="DJ150">
        <f>$AW73-SUM($BE73:DJ73)</f>
        <v>497.20169004671999</v>
      </c>
      <c r="DK150">
        <f>$AW73-SUM($BE73:DK73)</f>
        <v>497.20169004671999</v>
      </c>
      <c r="DL150">
        <f>$AW73-SUM($BE73:DL73)</f>
        <v>497.20169004671999</v>
      </c>
      <c r="DM150">
        <f>$AW73-SUM($BE73:DM73)</f>
        <v>497.20169004671999</v>
      </c>
      <c r="DN150">
        <f>$AW73-SUM($BE73:DN73)</f>
        <v>497.20169004671999</v>
      </c>
      <c r="DO150">
        <f>$AW73-SUM($BE73:DO73)</f>
        <v>497.20169004671999</v>
      </c>
      <c r="DP150">
        <f>$AW73-SUM($BE73:DP73)</f>
        <v>491.15433759821707</v>
      </c>
      <c r="DQ150">
        <f>$AW73-SUM($BE73:DQ73)</f>
        <v>465.65961002377855</v>
      </c>
      <c r="DR150">
        <f>$AW73-SUM($BE73:DR73)</f>
        <v>429.98462950801576</v>
      </c>
      <c r="DS150">
        <f>$AW73-SUM($BE73:DS73)</f>
        <v>392.02634490970513</v>
      </c>
      <c r="DT150">
        <f>$AW73-SUM($BE73:DT73)</f>
        <v>355.41874369000584</v>
      </c>
      <c r="DU150">
        <f>$AW73-SUM($BE73:DU73)</f>
        <v>321.6028138710434</v>
      </c>
      <c r="DV150">
        <f>$AW73-SUM($BE73:DV73)</f>
        <v>291.00543578403932</v>
      </c>
      <c r="DW150" s="4">
        <f>$AW73-SUM($BE73:DW73)</f>
        <v>263.59958109872133</v>
      </c>
    </row>
    <row r="151" spans="4:127" x14ac:dyDescent="0.25">
      <c r="D151"/>
      <c r="BD151">
        <v>2054</v>
      </c>
      <c r="BE151">
        <f>$AW74-SUM($BE74:BE74)</f>
        <v>499.04727413760003</v>
      </c>
      <c r="BF151">
        <f>$AW74-SUM($BE74:BF74)</f>
        <v>499.04727413760003</v>
      </c>
      <c r="BG151">
        <f>$AW74-SUM($BE74:BG74)</f>
        <v>499.04727413760003</v>
      </c>
      <c r="BH151">
        <f>$AW74-SUM($BE74:BH74)</f>
        <v>499.04727413760003</v>
      </c>
      <c r="BI151">
        <f>$AW74-SUM($BE74:BI74)</f>
        <v>499.04727413760003</v>
      </c>
      <c r="BJ151">
        <f>$AW74-SUM($BE74:BJ74)</f>
        <v>499.04727413760003</v>
      </c>
      <c r="BK151">
        <f>$AW74-SUM($BE74:BK74)</f>
        <v>499.04727413760003</v>
      </c>
      <c r="BL151">
        <f>$AW74-SUM($BE74:BL74)</f>
        <v>499.04727413760003</v>
      </c>
      <c r="BM151">
        <f>$AW74-SUM($BE74:BM74)</f>
        <v>499.04727413760003</v>
      </c>
      <c r="BN151">
        <f>$AW74-SUM($BE74:BN74)</f>
        <v>499.04727413760003</v>
      </c>
      <c r="BO151">
        <f>$AW74-SUM($BE74:BO74)</f>
        <v>499.04727413760003</v>
      </c>
      <c r="BP151">
        <f>$AW74-SUM($BE74:BP74)</f>
        <v>499.04727413760003</v>
      </c>
      <c r="BQ151">
        <f>$AW74-SUM($BE74:BQ74)</f>
        <v>499.04727413760003</v>
      </c>
      <c r="BR151">
        <f>$AW74-SUM($BE74:BR74)</f>
        <v>499.04727413760003</v>
      </c>
      <c r="BS151">
        <f>$AW74-SUM($BE74:BS74)</f>
        <v>499.04727413760003</v>
      </c>
      <c r="BT151">
        <f>$AW74-SUM($BE74:BT74)</f>
        <v>499.04727413760003</v>
      </c>
      <c r="BU151">
        <f>$AW74-SUM($BE74:BU74)</f>
        <v>499.04727413760003</v>
      </c>
      <c r="BV151">
        <f>$AW74-SUM($BE74:BV74)</f>
        <v>499.04727413760003</v>
      </c>
      <c r="BW151">
        <f>$AW74-SUM($BE74:BW74)</f>
        <v>499.04727413760003</v>
      </c>
      <c r="BX151">
        <f>$AW74-SUM($BE74:BX74)</f>
        <v>499.04727413760003</v>
      </c>
      <c r="BY151">
        <f>$AW74-SUM($BE74:BY74)</f>
        <v>499.04727413760003</v>
      </c>
      <c r="BZ151">
        <f>$AW74-SUM($BE74:BZ74)</f>
        <v>499.04727413760003</v>
      </c>
      <c r="CA151">
        <f>$AW74-SUM($BE74:CA74)</f>
        <v>499.04727413760003</v>
      </c>
      <c r="CB151">
        <f>$AW74-SUM($BE74:CB74)</f>
        <v>499.04727413760003</v>
      </c>
      <c r="CC151">
        <f>$AW74-SUM($BE74:CC74)</f>
        <v>499.04727413760003</v>
      </c>
      <c r="CD151">
        <f>$AW74-SUM($BE74:CD74)</f>
        <v>499.04727413760003</v>
      </c>
      <c r="CE151">
        <f>$AW74-SUM($BE74:CE74)</f>
        <v>499.04727413760003</v>
      </c>
      <c r="CF151">
        <f>$AW74-SUM($BE74:CF74)</f>
        <v>499.04727413760003</v>
      </c>
      <c r="CG151">
        <f>$AW74-SUM($BE74:CG74)</f>
        <v>499.04727413760003</v>
      </c>
      <c r="CH151">
        <f>$AW74-SUM($BE74:CH74)</f>
        <v>499.04727413760003</v>
      </c>
      <c r="CI151">
        <f>$AW74-SUM($BE74:CI74)</f>
        <v>499.04727413760003</v>
      </c>
      <c r="CJ151">
        <f>$AW74-SUM($BE74:CJ74)</f>
        <v>499.04727413760003</v>
      </c>
      <c r="CK151">
        <f>$AW74-SUM($BE74:CK74)</f>
        <v>499.04727413760003</v>
      </c>
      <c r="CL151">
        <f>$AW74-SUM($BE74:CL74)</f>
        <v>499.04727413760003</v>
      </c>
      <c r="CM151">
        <f>$AW74-SUM($BE74:CM74)</f>
        <v>499.04727413760003</v>
      </c>
      <c r="CN151">
        <f>$AW74-SUM($BE74:CN74)</f>
        <v>499.04727413760003</v>
      </c>
      <c r="CO151">
        <f>$AW74-SUM($BE74:CO74)</f>
        <v>499.04727413760003</v>
      </c>
      <c r="CP151">
        <f>$AW74-SUM($BE74:CP74)</f>
        <v>499.04727413760003</v>
      </c>
      <c r="CQ151">
        <f>$AW74-SUM($BE74:CQ74)</f>
        <v>499.04727413760003</v>
      </c>
      <c r="CR151">
        <f>$AW74-SUM($BE74:CR74)</f>
        <v>499.04727413760003</v>
      </c>
      <c r="CS151">
        <f>$AW74-SUM($BE74:CS74)</f>
        <v>499.04727413760003</v>
      </c>
      <c r="CT151">
        <f>$AW74-SUM($BE74:CT74)</f>
        <v>499.04727413760003</v>
      </c>
      <c r="CU151">
        <f>$AW74-SUM($BE74:CU74)</f>
        <v>499.04727413760003</v>
      </c>
      <c r="CV151">
        <f>$AW74-SUM($BE74:CV74)</f>
        <v>499.04727413760003</v>
      </c>
      <c r="CW151">
        <f>$AW74-SUM($BE74:CW74)</f>
        <v>499.04727413760003</v>
      </c>
      <c r="CX151">
        <f>$AW74-SUM($BE74:CX74)</f>
        <v>499.04727413760003</v>
      </c>
      <c r="CY151">
        <f>$AW74-SUM($BE74:CY74)</f>
        <v>499.04727413760003</v>
      </c>
      <c r="CZ151">
        <f>$AW74-SUM($BE74:CZ74)</f>
        <v>499.04727413760003</v>
      </c>
      <c r="DA151">
        <f>$AW74-SUM($BE74:DA74)</f>
        <v>499.04727413760003</v>
      </c>
      <c r="DB151">
        <f>$AW74-SUM($BE74:DB74)</f>
        <v>499.04727413760003</v>
      </c>
      <c r="DC151">
        <f>$AW74-SUM($BE74:DC74)</f>
        <v>499.04727413760003</v>
      </c>
      <c r="DD151">
        <f>$AW74-SUM($BE74:DD74)</f>
        <v>499.04727413760003</v>
      </c>
      <c r="DE151">
        <f>$AW74-SUM($BE74:DE74)</f>
        <v>499.04727413760003</v>
      </c>
      <c r="DF151">
        <f>$AW74-SUM($BE74:DF74)</f>
        <v>499.04727413760003</v>
      </c>
      <c r="DG151">
        <f>$AW74-SUM($BE74:DG74)</f>
        <v>499.04727413760003</v>
      </c>
      <c r="DH151">
        <f>$AW74-SUM($BE74:DH74)</f>
        <v>499.04727413760003</v>
      </c>
      <c r="DI151">
        <f>$AW74-SUM($BE74:DI74)</f>
        <v>499.04727413760003</v>
      </c>
      <c r="DJ151">
        <f>$AW74-SUM($BE74:DJ74)</f>
        <v>499.04727413760003</v>
      </c>
      <c r="DK151">
        <f>$AW74-SUM($BE74:DK74)</f>
        <v>499.04727413760003</v>
      </c>
      <c r="DL151">
        <f>$AW74-SUM($BE74:DL74)</f>
        <v>499.04727413760003</v>
      </c>
      <c r="DM151">
        <f>$AW74-SUM($BE74:DM74)</f>
        <v>499.04727413760003</v>
      </c>
      <c r="DN151">
        <f>$AW74-SUM($BE74:DN74)</f>
        <v>499.04727413760003</v>
      </c>
      <c r="DO151">
        <f>$AW74-SUM($BE74:DO74)</f>
        <v>499.04727413760003</v>
      </c>
      <c r="DP151">
        <f>$AW74-SUM($BE74:DP74)</f>
        <v>499.04727413760003</v>
      </c>
      <c r="DQ151">
        <f>$AW74-SUM($BE74:DQ74)</f>
        <v>492.9774742644517</v>
      </c>
      <c r="DR151">
        <f>$AW74-SUM($BE74:DR74)</f>
        <v>467.38811172686917</v>
      </c>
      <c r="DS151">
        <f>$AW74-SUM($BE74:DS74)</f>
        <v>431.58070773427517</v>
      </c>
      <c r="DT151">
        <f>$AW74-SUM($BE74:DT74)</f>
        <v>393.48152416563892</v>
      </c>
      <c r="DU151">
        <f>$AW74-SUM($BE74:DU74)</f>
        <v>356.73803763466884</v>
      </c>
      <c r="DV151">
        <f>$AW74-SUM($BE74:DV74)</f>
        <v>322.79658502819063</v>
      </c>
      <c r="DW151" s="4">
        <f>$AW74-SUM($BE74:DW74)</f>
        <v>292.08563123267538</v>
      </c>
    </row>
    <row r="152" spans="4:127" x14ac:dyDescent="0.25">
      <c r="D152"/>
      <c r="BD152">
        <v>2055</v>
      </c>
      <c r="BE152">
        <f>$AW75-SUM($BE75:BE75)</f>
        <v>500.90674420800002</v>
      </c>
      <c r="BF152">
        <f>$AW75-SUM($BE75:BF75)</f>
        <v>500.90674420800002</v>
      </c>
      <c r="BG152">
        <f>$AW75-SUM($BE75:BG75)</f>
        <v>500.90674420800002</v>
      </c>
      <c r="BH152">
        <f>$AW75-SUM($BE75:BH75)</f>
        <v>500.90674420800002</v>
      </c>
      <c r="BI152">
        <f>$AW75-SUM($BE75:BI75)</f>
        <v>500.90674420800002</v>
      </c>
      <c r="BJ152">
        <f>$AW75-SUM($BE75:BJ75)</f>
        <v>500.90674420800002</v>
      </c>
      <c r="BK152">
        <f>$AW75-SUM($BE75:BK75)</f>
        <v>500.90674420800002</v>
      </c>
      <c r="BL152">
        <f>$AW75-SUM($BE75:BL75)</f>
        <v>500.90674420800002</v>
      </c>
      <c r="BM152">
        <f>$AW75-SUM($BE75:BM75)</f>
        <v>500.90674420800002</v>
      </c>
      <c r="BN152">
        <f>$AW75-SUM($BE75:BN75)</f>
        <v>500.90674420800002</v>
      </c>
      <c r="BO152">
        <f>$AW75-SUM($BE75:BO75)</f>
        <v>500.90674420800002</v>
      </c>
      <c r="BP152">
        <f>$AW75-SUM($BE75:BP75)</f>
        <v>500.90674420800002</v>
      </c>
      <c r="BQ152">
        <f>$AW75-SUM($BE75:BQ75)</f>
        <v>500.90674420800002</v>
      </c>
      <c r="BR152">
        <f>$AW75-SUM($BE75:BR75)</f>
        <v>500.90674420800002</v>
      </c>
      <c r="BS152">
        <f>$AW75-SUM($BE75:BS75)</f>
        <v>500.90674420800002</v>
      </c>
      <c r="BT152">
        <f>$AW75-SUM($BE75:BT75)</f>
        <v>500.90674420800002</v>
      </c>
      <c r="BU152">
        <f>$AW75-SUM($BE75:BU75)</f>
        <v>500.90674420800002</v>
      </c>
      <c r="BV152">
        <f>$AW75-SUM($BE75:BV75)</f>
        <v>500.90674420800002</v>
      </c>
      <c r="BW152">
        <f>$AW75-SUM($BE75:BW75)</f>
        <v>500.90674420800002</v>
      </c>
      <c r="BX152">
        <f>$AW75-SUM($BE75:BX75)</f>
        <v>500.90674420800002</v>
      </c>
      <c r="BY152">
        <f>$AW75-SUM($BE75:BY75)</f>
        <v>500.90674420800002</v>
      </c>
      <c r="BZ152">
        <f>$AW75-SUM($BE75:BZ75)</f>
        <v>500.90674420800002</v>
      </c>
      <c r="CA152">
        <f>$AW75-SUM($BE75:CA75)</f>
        <v>500.90674420800002</v>
      </c>
      <c r="CB152">
        <f>$AW75-SUM($BE75:CB75)</f>
        <v>500.90674420800002</v>
      </c>
      <c r="CC152">
        <f>$AW75-SUM($BE75:CC75)</f>
        <v>500.90674420800002</v>
      </c>
      <c r="CD152">
        <f>$AW75-SUM($BE75:CD75)</f>
        <v>500.90674420800002</v>
      </c>
      <c r="CE152">
        <f>$AW75-SUM($BE75:CE75)</f>
        <v>500.90674420800002</v>
      </c>
      <c r="CF152">
        <f>$AW75-SUM($BE75:CF75)</f>
        <v>500.90674420800002</v>
      </c>
      <c r="CG152">
        <f>$AW75-SUM($BE75:CG75)</f>
        <v>500.90674420800002</v>
      </c>
      <c r="CH152">
        <f>$AW75-SUM($BE75:CH75)</f>
        <v>500.90674420800002</v>
      </c>
      <c r="CI152">
        <f>$AW75-SUM($BE75:CI75)</f>
        <v>500.90674420800002</v>
      </c>
      <c r="CJ152">
        <f>$AW75-SUM($BE75:CJ75)</f>
        <v>500.90674420800002</v>
      </c>
      <c r="CK152">
        <f>$AW75-SUM($BE75:CK75)</f>
        <v>500.90674420800002</v>
      </c>
      <c r="CL152">
        <f>$AW75-SUM($BE75:CL75)</f>
        <v>500.90674420800002</v>
      </c>
      <c r="CM152">
        <f>$AW75-SUM($BE75:CM75)</f>
        <v>500.90674420800002</v>
      </c>
      <c r="CN152">
        <f>$AW75-SUM($BE75:CN75)</f>
        <v>500.90674420800002</v>
      </c>
      <c r="CO152">
        <f>$AW75-SUM($BE75:CO75)</f>
        <v>500.90674420800002</v>
      </c>
      <c r="CP152">
        <f>$AW75-SUM($BE75:CP75)</f>
        <v>500.90674420800002</v>
      </c>
      <c r="CQ152">
        <f>$AW75-SUM($BE75:CQ75)</f>
        <v>500.90674420800002</v>
      </c>
      <c r="CR152">
        <f>$AW75-SUM($BE75:CR75)</f>
        <v>500.90674420800002</v>
      </c>
      <c r="CS152">
        <f>$AW75-SUM($BE75:CS75)</f>
        <v>500.90674420800002</v>
      </c>
      <c r="CT152">
        <f>$AW75-SUM($BE75:CT75)</f>
        <v>500.90674420800002</v>
      </c>
      <c r="CU152">
        <f>$AW75-SUM($BE75:CU75)</f>
        <v>500.90674420800002</v>
      </c>
      <c r="CV152">
        <f>$AW75-SUM($BE75:CV75)</f>
        <v>500.90674420800002</v>
      </c>
      <c r="CW152">
        <f>$AW75-SUM($BE75:CW75)</f>
        <v>500.90674420800002</v>
      </c>
      <c r="CX152">
        <f>$AW75-SUM($BE75:CX75)</f>
        <v>500.90674420800002</v>
      </c>
      <c r="CY152">
        <f>$AW75-SUM($BE75:CY75)</f>
        <v>500.90674420800002</v>
      </c>
      <c r="CZ152">
        <f>$AW75-SUM($BE75:CZ75)</f>
        <v>500.90674420800002</v>
      </c>
      <c r="DA152">
        <f>$AW75-SUM($BE75:DA75)</f>
        <v>500.90674420800002</v>
      </c>
      <c r="DB152">
        <f>$AW75-SUM($BE75:DB75)</f>
        <v>500.90674420800002</v>
      </c>
      <c r="DC152">
        <f>$AW75-SUM($BE75:DC75)</f>
        <v>500.90674420800002</v>
      </c>
      <c r="DD152">
        <f>$AW75-SUM($BE75:DD75)</f>
        <v>500.90674420800002</v>
      </c>
      <c r="DE152">
        <f>$AW75-SUM($BE75:DE75)</f>
        <v>500.90674420800002</v>
      </c>
      <c r="DF152">
        <f>$AW75-SUM($BE75:DF75)</f>
        <v>500.90674420800002</v>
      </c>
      <c r="DG152">
        <f>$AW75-SUM($BE75:DG75)</f>
        <v>500.90674420800002</v>
      </c>
      <c r="DH152">
        <f>$AW75-SUM($BE75:DH75)</f>
        <v>500.90674420800002</v>
      </c>
      <c r="DI152">
        <f>$AW75-SUM($BE75:DI75)</f>
        <v>500.90674420800002</v>
      </c>
      <c r="DJ152">
        <f>$AW75-SUM($BE75:DJ75)</f>
        <v>500.90674420800002</v>
      </c>
      <c r="DK152">
        <f>$AW75-SUM($BE75:DK75)</f>
        <v>500.90674420800002</v>
      </c>
      <c r="DL152">
        <f>$AW75-SUM($BE75:DL75)</f>
        <v>500.90674420800002</v>
      </c>
      <c r="DM152">
        <f>$AW75-SUM($BE75:DM75)</f>
        <v>500.90674420800002</v>
      </c>
      <c r="DN152">
        <f>$AW75-SUM($BE75:DN75)</f>
        <v>500.90674420800002</v>
      </c>
      <c r="DO152">
        <f>$AW75-SUM($BE75:DO75)</f>
        <v>500.90674420800002</v>
      </c>
      <c r="DP152">
        <f>$AW75-SUM($BE75:DP75)</f>
        <v>500.90674420800002</v>
      </c>
      <c r="DQ152">
        <f>$AW75-SUM($BE75:DQ75)</f>
        <v>500.90674420800002</v>
      </c>
      <c r="DR152">
        <f>$AW75-SUM($BE75:DR75)</f>
        <v>494.81432801815714</v>
      </c>
      <c r="DS152">
        <f>$AW75-SUM($BE75:DS75)</f>
        <v>469.12961849397607</v>
      </c>
      <c r="DT152">
        <f>$AW75-SUM($BE75:DT75)</f>
        <v>433.18879468431561</v>
      </c>
      <c r="DU152">
        <f>$AW75-SUM($BE75:DU75)</f>
        <v>394.94765203640179</v>
      </c>
      <c r="DV152">
        <f>$AW75-SUM($BE75:DV75)</f>
        <v>358.06725780744949</v>
      </c>
      <c r="DW152" s="4">
        <f>$AW75-SUM($BE75:DW75)</f>
        <v>323.99933799327698</v>
      </c>
    </row>
    <row r="153" spans="4:127" x14ac:dyDescent="0.25">
      <c r="D153"/>
      <c r="BD153">
        <v>2056</v>
      </c>
      <c r="BE153">
        <f>$AW76-SUM($BE76:BE76)</f>
        <v>502.78128484992004</v>
      </c>
      <c r="BF153">
        <f>$AW76-SUM($BE76:BF76)</f>
        <v>502.78128484992004</v>
      </c>
      <c r="BG153">
        <f>$AW76-SUM($BE76:BG76)</f>
        <v>502.78128484992004</v>
      </c>
      <c r="BH153">
        <f>$AW76-SUM($BE76:BH76)</f>
        <v>502.78128484992004</v>
      </c>
      <c r="BI153">
        <f>$AW76-SUM($BE76:BI76)</f>
        <v>502.78128484992004</v>
      </c>
      <c r="BJ153">
        <f>$AW76-SUM($BE76:BJ76)</f>
        <v>502.78128484992004</v>
      </c>
      <c r="BK153">
        <f>$AW76-SUM($BE76:BK76)</f>
        <v>502.78128484992004</v>
      </c>
      <c r="BL153">
        <f>$AW76-SUM($BE76:BL76)</f>
        <v>502.78128484992004</v>
      </c>
      <c r="BM153">
        <f>$AW76-SUM($BE76:BM76)</f>
        <v>502.78128484992004</v>
      </c>
      <c r="BN153">
        <f>$AW76-SUM($BE76:BN76)</f>
        <v>502.78128484992004</v>
      </c>
      <c r="BO153">
        <f>$AW76-SUM($BE76:BO76)</f>
        <v>502.78128484992004</v>
      </c>
      <c r="BP153">
        <f>$AW76-SUM($BE76:BP76)</f>
        <v>502.78128484992004</v>
      </c>
      <c r="BQ153">
        <f>$AW76-SUM($BE76:BQ76)</f>
        <v>502.78128484992004</v>
      </c>
      <c r="BR153">
        <f>$AW76-SUM($BE76:BR76)</f>
        <v>502.78128484992004</v>
      </c>
      <c r="BS153">
        <f>$AW76-SUM($BE76:BS76)</f>
        <v>502.78128484992004</v>
      </c>
      <c r="BT153">
        <f>$AW76-SUM($BE76:BT76)</f>
        <v>502.78128484992004</v>
      </c>
      <c r="BU153">
        <f>$AW76-SUM($BE76:BU76)</f>
        <v>502.78128484992004</v>
      </c>
      <c r="BV153">
        <f>$AW76-SUM($BE76:BV76)</f>
        <v>502.78128484992004</v>
      </c>
      <c r="BW153">
        <f>$AW76-SUM($BE76:BW76)</f>
        <v>502.78128484992004</v>
      </c>
      <c r="BX153">
        <f>$AW76-SUM($BE76:BX76)</f>
        <v>502.78128484992004</v>
      </c>
      <c r="BY153">
        <f>$AW76-SUM($BE76:BY76)</f>
        <v>502.78128484992004</v>
      </c>
      <c r="BZ153">
        <f>$AW76-SUM($BE76:BZ76)</f>
        <v>502.78128484992004</v>
      </c>
      <c r="CA153">
        <f>$AW76-SUM($BE76:CA76)</f>
        <v>502.78128484992004</v>
      </c>
      <c r="CB153">
        <f>$AW76-SUM($BE76:CB76)</f>
        <v>502.78128484992004</v>
      </c>
      <c r="CC153">
        <f>$AW76-SUM($BE76:CC76)</f>
        <v>502.78128484992004</v>
      </c>
      <c r="CD153">
        <f>$AW76-SUM($BE76:CD76)</f>
        <v>502.78128484992004</v>
      </c>
      <c r="CE153">
        <f>$AW76-SUM($BE76:CE76)</f>
        <v>502.78128484992004</v>
      </c>
      <c r="CF153">
        <f>$AW76-SUM($BE76:CF76)</f>
        <v>502.78128484992004</v>
      </c>
      <c r="CG153">
        <f>$AW76-SUM($BE76:CG76)</f>
        <v>502.78128484992004</v>
      </c>
      <c r="CH153">
        <f>$AW76-SUM($BE76:CH76)</f>
        <v>502.78128484992004</v>
      </c>
      <c r="CI153">
        <f>$AW76-SUM($BE76:CI76)</f>
        <v>502.78128484992004</v>
      </c>
      <c r="CJ153">
        <f>$AW76-SUM($BE76:CJ76)</f>
        <v>502.78128484992004</v>
      </c>
      <c r="CK153">
        <f>$AW76-SUM($BE76:CK76)</f>
        <v>502.78128484992004</v>
      </c>
      <c r="CL153">
        <f>$AW76-SUM($BE76:CL76)</f>
        <v>502.78128484992004</v>
      </c>
      <c r="CM153">
        <f>$AW76-SUM($BE76:CM76)</f>
        <v>502.78128484992004</v>
      </c>
      <c r="CN153">
        <f>$AW76-SUM($BE76:CN76)</f>
        <v>502.78128484992004</v>
      </c>
      <c r="CO153">
        <f>$AW76-SUM($BE76:CO76)</f>
        <v>502.78128484992004</v>
      </c>
      <c r="CP153">
        <f>$AW76-SUM($BE76:CP76)</f>
        <v>502.78128484992004</v>
      </c>
      <c r="CQ153">
        <f>$AW76-SUM($BE76:CQ76)</f>
        <v>502.78128484992004</v>
      </c>
      <c r="CR153">
        <f>$AW76-SUM($BE76:CR76)</f>
        <v>502.78128484992004</v>
      </c>
      <c r="CS153">
        <f>$AW76-SUM($BE76:CS76)</f>
        <v>502.78128484992004</v>
      </c>
      <c r="CT153">
        <f>$AW76-SUM($BE76:CT76)</f>
        <v>502.78128484992004</v>
      </c>
      <c r="CU153">
        <f>$AW76-SUM($BE76:CU76)</f>
        <v>502.78128484992004</v>
      </c>
      <c r="CV153">
        <f>$AW76-SUM($BE76:CV76)</f>
        <v>502.78128484992004</v>
      </c>
      <c r="CW153">
        <f>$AW76-SUM($BE76:CW76)</f>
        <v>502.78128484992004</v>
      </c>
      <c r="CX153">
        <f>$AW76-SUM($BE76:CX76)</f>
        <v>502.78128484992004</v>
      </c>
      <c r="CY153">
        <f>$AW76-SUM($BE76:CY76)</f>
        <v>502.78128484992004</v>
      </c>
      <c r="CZ153">
        <f>$AW76-SUM($BE76:CZ76)</f>
        <v>502.78128484992004</v>
      </c>
      <c r="DA153">
        <f>$AW76-SUM($BE76:DA76)</f>
        <v>502.78128484992004</v>
      </c>
      <c r="DB153">
        <f>$AW76-SUM($BE76:DB76)</f>
        <v>502.78128484992004</v>
      </c>
      <c r="DC153">
        <f>$AW76-SUM($BE76:DC76)</f>
        <v>502.78128484992004</v>
      </c>
      <c r="DD153">
        <f>$AW76-SUM($BE76:DD76)</f>
        <v>502.78128484992004</v>
      </c>
      <c r="DE153">
        <f>$AW76-SUM($BE76:DE76)</f>
        <v>502.78128484992004</v>
      </c>
      <c r="DF153">
        <f>$AW76-SUM($BE76:DF76)</f>
        <v>502.78128484992004</v>
      </c>
      <c r="DG153">
        <f>$AW76-SUM($BE76:DG76)</f>
        <v>502.78128484992004</v>
      </c>
      <c r="DH153">
        <f>$AW76-SUM($BE76:DH76)</f>
        <v>502.78128484992004</v>
      </c>
      <c r="DI153">
        <f>$AW76-SUM($BE76:DI76)</f>
        <v>502.78128484992004</v>
      </c>
      <c r="DJ153">
        <f>$AW76-SUM($BE76:DJ76)</f>
        <v>502.78128484992004</v>
      </c>
      <c r="DK153">
        <f>$AW76-SUM($BE76:DK76)</f>
        <v>502.78128484992004</v>
      </c>
      <c r="DL153">
        <f>$AW76-SUM($BE76:DL76)</f>
        <v>502.78128484992004</v>
      </c>
      <c r="DM153">
        <f>$AW76-SUM($BE76:DM76)</f>
        <v>502.78128484992004</v>
      </c>
      <c r="DN153">
        <f>$AW76-SUM($BE76:DN76)</f>
        <v>502.78128484992004</v>
      </c>
      <c r="DO153">
        <f>$AW76-SUM($BE76:DO76)</f>
        <v>502.78128484992004</v>
      </c>
      <c r="DP153">
        <f>$AW76-SUM($BE76:DP76)</f>
        <v>502.78128484992004</v>
      </c>
      <c r="DQ153">
        <f>$AW76-SUM($BE76:DQ76)</f>
        <v>502.78128484992004</v>
      </c>
      <c r="DR153">
        <f>$AW76-SUM($BE76:DR76)</f>
        <v>502.78128484992004</v>
      </c>
      <c r="DS153">
        <f>$AW76-SUM($BE76:DS76)</f>
        <v>496.66606904340722</v>
      </c>
      <c r="DT153">
        <f>$AW76-SUM($BE76:DT76)</f>
        <v>470.88523976752441</v>
      </c>
      <c r="DU153">
        <f>$AW76-SUM($BE76:DU76)</f>
        <v>434.8099148042773</v>
      </c>
      <c r="DV153">
        <f>$AW76-SUM($BE76:DV76)</f>
        <v>396.42566253183583</v>
      </c>
      <c r="DW153" s="4">
        <f>$AW76-SUM($BE76:DW76)</f>
        <v>359.40725099991926</v>
      </c>
    </row>
    <row r="154" spans="4:127" x14ac:dyDescent="0.25">
      <c r="D154"/>
      <c r="BD154">
        <v>2057</v>
      </c>
      <c r="BE154">
        <f>$AW77-SUM($BE77:BE77)</f>
        <v>504.67263645312005</v>
      </c>
      <c r="BF154">
        <f>$AW77-SUM($BE77:BF77)</f>
        <v>504.67263645312005</v>
      </c>
      <c r="BG154">
        <f>$AW77-SUM($BE77:BG77)</f>
        <v>504.67263645312005</v>
      </c>
      <c r="BH154">
        <f>$AW77-SUM($BE77:BH77)</f>
        <v>504.67263645312005</v>
      </c>
      <c r="BI154">
        <f>$AW77-SUM($BE77:BI77)</f>
        <v>504.67263645312005</v>
      </c>
      <c r="BJ154">
        <f>$AW77-SUM($BE77:BJ77)</f>
        <v>504.67263645312005</v>
      </c>
      <c r="BK154">
        <f>$AW77-SUM($BE77:BK77)</f>
        <v>504.67263645312005</v>
      </c>
      <c r="BL154">
        <f>$AW77-SUM($BE77:BL77)</f>
        <v>504.67263645312005</v>
      </c>
      <c r="BM154">
        <f>$AW77-SUM($BE77:BM77)</f>
        <v>504.67263645312005</v>
      </c>
      <c r="BN154">
        <f>$AW77-SUM($BE77:BN77)</f>
        <v>504.67263645312005</v>
      </c>
      <c r="BO154">
        <f>$AW77-SUM($BE77:BO77)</f>
        <v>504.67263645312005</v>
      </c>
      <c r="BP154">
        <f>$AW77-SUM($BE77:BP77)</f>
        <v>504.67263645312005</v>
      </c>
      <c r="BQ154">
        <f>$AW77-SUM($BE77:BQ77)</f>
        <v>504.67263645312005</v>
      </c>
      <c r="BR154">
        <f>$AW77-SUM($BE77:BR77)</f>
        <v>504.67263645312005</v>
      </c>
      <c r="BS154">
        <f>$AW77-SUM($BE77:BS77)</f>
        <v>504.67263645312005</v>
      </c>
      <c r="BT154">
        <f>$AW77-SUM($BE77:BT77)</f>
        <v>504.67263645312005</v>
      </c>
      <c r="BU154">
        <f>$AW77-SUM($BE77:BU77)</f>
        <v>504.67263645312005</v>
      </c>
      <c r="BV154">
        <f>$AW77-SUM($BE77:BV77)</f>
        <v>504.67263645312005</v>
      </c>
      <c r="BW154">
        <f>$AW77-SUM($BE77:BW77)</f>
        <v>504.67263645312005</v>
      </c>
      <c r="BX154">
        <f>$AW77-SUM($BE77:BX77)</f>
        <v>504.67263645312005</v>
      </c>
      <c r="BY154">
        <f>$AW77-SUM($BE77:BY77)</f>
        <v>504.67263645312005</v>
      </c>
      <c r="BZ154">
        <f>$AW77-SUM($BE77:BZ77)</f>
        <v>504.67263645312005</v>
      </c>
      <c r="CA154">
        <f>$AW77-SUM($BE77:CA77)</f>
        <v>504.67263645312005</v>
      </c>
      <c r="CB154">
        <f>$AW77-SUM($BE77:CB77)</f>
        <v>504.67263645312005</v>
      </c>
      <c r="CC154">
        <f>$AW77-SUM($BE77:CC77)</f>
        <v>504.67263645312005</v>
      </c>
      <c r="CD154">
        <f>$AW77-SUM($BE77:CD77)</f>
        <v>504.67263645312005</v>
      </c>
      <c r="CE154">
        <f>$AW77-SUM($BE77:CE77)</f>
        <v>504.67263645312005</v>
      </c>
      <c r="CF154">
        <f>$AW77-SUM($BE77:CF77)</f>
        <v>504.67263645312005</v>
      </c>
      <c r="CG154">
        <f>$AW77-SUM($BE77:CG77)</f>
        <v>504.67263645312005</v>
      </c>
      <c r="CH154">
        <f>$AW77-SUM($BE77:CH77)</f>
        <v>504.67263645312005</v>
      </c>
      <c r="CI154">
        <f>$AW77-SUM($BE77:CI77)</f>
        <v>504.67263645312005</v>
      </c>
      <c r="CJ154">
        <f>$AW77-SUM($BE77:CJ77)</f>
        <v>504.67263645312005</v>
      </c>
      <c r="CK154">
        <f>$AW77-SUM($BE77:CK77)</f>
        <v>504.67263645312005</v>
      </c>
      <c r="CL154">
        <f>$AW77-SUM($BE77:CL77)</f>
        <v>504.67263645312005</v>
      </c>
      <c r="CM154">
        <f>$AW77-SUM($BE77:CM77)</f>
        <v>504.67263645312005</v>
      </c>
      <c r="CN154">
        <f>$AW77-SUM($BE77:CN77)</f>
        <v>504.67263645312005</v>
      </c>
      <c r="CO154">
        <f>$AW77-SUM($BE77:CO77)</f>
        <v>504.67263645312005</v>
      </c>
      <c r="CP154">
        <f>$AW77-SUM($BE77:CP77)</f>
        <v>504.67263645312005</v>
      </c>
      <c r="CQ154">
        <f>$AW77-SUM($BE77:CQ77)</f>
        <v>504.67263645312005</v>
      </c>
      <c r="CR154">
        <f>$AW77-SUM($BE77:CR77)</f>
        <v>504.67263645312005</v>
      </c>
      <c r="CS154">
        <f>$AW77-SUM($BE77:CS77)</f>
        <v>504.67263645312005</v>
      </c>
      <c r="CT154">
        <f>$AW77-SUM($BE77:CT77)</f>
        <v>504.67263645312005</v>
      </c>
      <c r="CU154">
        <f>$AW77-SUM($BE77:CU77)</f>
        <v>504.67263645312005</v>
      </c>
      <c r="CV154">
        <f>$AW77-SUM($BE77:CV77)</f>
        <v>504.67263645312005</v>
      </c>
      <c r="CW154">
        <f>$AW77-SUM($BE77:CW77)</f>
        <v>504.67263645312005</v>
      </c>
      <c r="CX154">
        <f>$AW77-SUM($BE77:CX77)</f>
        <v>504.67263645312005</v>
      </c>
      <c r="CY154">
        <f>$AW77-SUM($BE77:CY77)</f>
        <v>504.67263645312005</v>
      </c>
      <c r="CZ154">
        <f>$AW77-SUM($BE77:CZ77)</f>
        <v>504.67263645312005</v>
      </c>
      <c r="DA154">
        <f>$AW77-SUM($BE77:DA77)</f>
        <v>504.67263645312005</v>
      </c>
      <c r="DB154">
        <f>$AW77-SUM($BE77:DB77)</f>
        <v>504.67263645312005</v>
      </c>
      <c r="DC154">
        <f>$AW77-SUM($BE77:DC77)</f>
        <v>504.67263645312005</v>
      </c>
      <c r="DD154">
        <f>$AW77-SUM($BE77:DD77)</f>
        <v>504.67263645312005</v>
      </c>
      <c r="DE154">
        <f>$AW77-SUM($BE77:DE77)</f>
        <v>504.67263645312005</v>
      </c>
      <c r="DF154">
        <f>$AW77-SUM($BE77:DF77)</f>
        <v>504.67263645312005</v>
      </c>
      <c r="DG154">
        <f>$AW77-SUM($BE77:DG77)</f>
        <v>504.67263645312005</v>
      </c>
      <c r="DH154">
        <f>$AW77-SUM($BE77:DH77)</f>
        <v>504.67263645312005</v>
      </c>
      <c r="DI154">
        <f>$AW77-SUM($BE77:DI77)</f>
        <v>504.67263645312005</v>
      </c>
      <c r="DJ154">
        <f>$AW77-SUM($BE77:DJ77)</f>
        <v>504.67263645312005</v>
      </c>
      <c r="DK154">
        <f>$AW77-SUM($BE77:DK77)</f>
        <v>504.67263645312005</v>
      </c>
      <c r="DL154">
        <f>$AW77-SUM($BE77:DL77)</f>
        <v>504.67263645312005</v>
      </c>
      <c r="DM154">
        <f>$AW77-SUM($BE77:DM77)</f>
        <v>504.67263645312005</v>
      </c>
      <c r="DN154">
        <f>$AW77-SUM($BE77:DN77)</f>
        <v>504.67263645312005</v>
      </c>
      <c r="DO154">
        <f>$AW77-SUM($BE77:DO77)</f>
        <v>504.67263645312005</v>
      </c>
      <c r="DP154">
        <f>$AW77-SUM($BE77:DP77)</f>
        <v>504.67263645312005</v>
      </c>
      <c r="DQ154">
        <f>$AW77-SUM($BE77:DQ77)</f>
        <v>504.67263645312005</v>
      </c>
      <c r="DR154">
        <f>$AW77-SUM($BE77:DR77)</f>
        <v>504.67263645312005</v>
      </c>
      <c r="DS154">
        <f>$AW77-SUM($BE77:DS77)</f>
        <v>504.67263645312005</v>
      </c>
      <c r="DT154">
        <f>$AW77-SUM($BE77:DT77)</f>
        <v>498.53441656199215</v>
      </c>
      <c r="DU154">
        <f>$AW77-SUM($BE77:DU77)</f>
        <v>472.65660552833106</v>
      </c>
      <c r="DV154">
        <f>$AW77-SUM($BE77:DV77)</f>
        <v>436.44557319935421</v>
      </c>
      <c r="DW154" s="4">
        <f>$AW77-SUM($BE77:DW77)</f>
        <v>397.91692788910348</v>
      </c>
    </row>
    <row r="155" spans="4:127" x14ac:dyDescent="0.25">
      <c r="D155"/>
      <c r="BD155">
        <v>2058</v>
      </c>
      <c r="BE155">
        <f>$AW78-SUM($BE78:BE78)</f>
        <v>506.58260215871996</v>
      </c>
      <c r="BF155">
        <f>$AW78-SUM($BE78:BF78)</f>
        <v>506.58260215871996</v>
      </c>
      <c r="BG155">
        <f>$AW78-SUM($BE78:BG78)</f>
        <v>506.58260215871996</v>
      </c>
      <c r="BH155">
        <f>$AW78-SUM($BE78:BH78)</f>
        <v>506.58260215871996</v>
      </c>
      <c r="BI155">
        <f>$AW78-SUM($BE78:BI78)</f>
        <v>506.58260215871996</v>
      </c>
      <c r="BJ155">
        <f>$AW78-SUM($BE78:BJ78)</f>
        <v>506.58260215871996</v>
      </c>
      <c r="BK155">
        <f>$AW78-SUM($BE78:BK78)</f>
        <v>506.58260215871996</v>
      </c>
      <c r="BL155">
        <f>$AW78-SUM($BE78:BL78)</f>
        <v>506.58260215871996</v>
      </c>
      <c r="BM155">
        <f>$AW78-SUM($BE78:BM78)</f>
        <v>506.58260215871996</v>
      </c>
      <c r="BN155">
        <f>$AW78-SUM($BE78:BN78)</f>
        <v>506.58260215871996</v>
      </c>
      <c r="BO155">
        <f>$AW78-SUM($BE78:BO78)</f>
        <v>506.58260215871996</v>
      </c>
      <c r="BP155">
        <f>$AW78-SUM($BE78:BP78)</f>
        <v>506.58260215871996</v>
      </c>
      <c r="BQ155">
        <f>$AW78-SUM($BE78:BQ78)</f>
        <v>506.58260215871996</v>
      </c>
      <c r="BR155">
        <f>$AW78-SUM($BE78:BR78)</f>
        <v>506.58260215871996</v>
      </c>
      <c r="BS155">
        <f>$AW78-SUM($BE78:BS78)</f>
        <v>506.58260215871996</v>
      </c>
      <c r="BT155">
        <f>$AW78-SUM($BE78:BT78)</f>
        <v>506.58260215871996</v>
      </c>
      <c r="BU155">
        <f>$AW78-SUM($BE78:BU78)</f>
        <v>506.58260215871996</v>
      </c>
      <c r="BV155">
        <f>$AW78-SUM($BE78:BV78)</f>
        <v>506.58260215871996</v>
      </c>
      <c r="BW155">
        <f>$AW78-SUM($BE78:BW78)</f>
        <v>506.58260215871996</v>
      </c>
      <c r="BX155">
        <f>$AW78-SUM($BE78:BX78)</f>
        <v>506.58260215871996</v>
      </c>
      <c r="BY155">
        <f>$AW78-SUM($BE78:BY78)</f>
        <v>506.58260215871996</v>
      </c>
      <c r="BZ155">
        <f>$AW78-SUM($BE78:BZ78)</f>
        <v>506.58260215871996</v>
      </c>
      <c r="CA155">
        <f>$AW78-SUM($BE78:CA78)</f>
        <v>506.58260215871996</v>
      </c>
      <c r="CB155">
        <f>$AW78-SUM($BE78:CB78)</f>
        <v>506.58260215871996</v>
      </c>
      <c r="CC155">
        <f>$AW78-SUM($BE78:CC78)</f>
        <v>506.58260215871996</v>
      </c>
      <c r="CD155">
        <f>$AW78-SUM($BE78:CD78)</f>
        <v>506.58260215871996</v>
      </c>
      <c r="CE155">
        <f>$AW78-SUM($BE78:CE78)</f>
        <v>506.58260215871996</v>
      </c>
      <c r="CF155">
        <f>$AW78-SUM($BE78:CF78)</f>
        <v>506.58260215871996</v>
      </c>
      <c r="CG155">
        <f>$AW78-SUM($BE78:CG78)</f>
        <v>506.58260215871996</v>
      </c>
      <c r="CH155">
        <f>$AW78-SUM($BE78:CH78)</f>
        <v>506.58260215871996</v>
      </c>
      <c r="CI155">
        <f>$AW78-SUM($BE78:CI78)</f>
        <v>506.58260215871996</v>
      </c>
      <c r="CJ155">
        <f>$AW78-SUM($BE78:CJ78)</f>
        <v>506.58260215871996</v>
      </c>
      <c r="CK155">
        <f>$AW78-SUM($BE78:CK78)</f>
        <v>506.58260215871996</v>
      </c>
      <c r="CL155">
        <f>$AW78-SUM($BE78:CL78)</f>
        <v>506.58260215871996</v>
      </c>
      <c r="CM155">
        <f>$AW78-SUM($BE78:CM78)</f>
        <v>506.58260215871996</v>
      </c>
      <c r="CN155">
        <f>$AW78-SUM($BE78:CN78)</f>
        <v>506.58260215871996</v>
      </c>
      <c r="CO155">
        <f>$AW78-SUM($BE78:CO78)</f>
        <v>506.58260215871996</v>
      </c>
      <c r="CP155">
        <f>$AW78-SUM($BE78:CP78)</f>
        <v>506.58260215871996</v>
      </c>
      <c r="CQ155">
        <f>$AW78-SUM($BE78:CQ78)</f>
        <v>506.58260215871996</v>
      </c>
      <c r="CR155">
        <f>$AW78-SUM($BE78:CR78)</f>
        <v>506.58260215871996</v>
      </c>
      <c r="CS155">
        <f>$AW78-SUM($BE78:CS78)</f>
        <v>506.58260215871996</v>
      </c>
      <c r="CT155">
        <f>$AW78-SUM($BE78:CT78)</f>
        <v>506.58260215871996</v>
      </c>
      <c r="CU155">
        <f>$AW78-SUM($BE78:CU78)</f>
        <v>506.58260215871996</v>
      </c>
      <c r="CV155">
        <f>$AW78-SUM($BE78:CV78)</f>
        <v>506.58260215871996</v>
      </c>
      <c r="CW155">
        <f>$AW78-SUM($BE78:CW78)</f>
        <v>506.58260215871996</v>
      </c>
      <c r="CX155">
        <f>$AW78-SUM($BE78:CX78)</f>
        <v>506.58260215871996</v>
      </c>
      <c r="CY155">
        <f>$AW78-SUM($BE78:CY78)</f>
        <v>506.58260215871996</v>
      </c>
      <c r="CZ155">
        <f>$AW78-SUM($BE78:CZ78)</f>
        <v>506.58260215871996</v>
      </c>
      <c r="DA155">
        <f>$AW78-SUM($BE78:DA78)</f>
        <v>506.58260215871996</v>
      </c>
      <c r="DB155">
        <f>$AW78-SUM($BE78:DB78)</f>
        <v>506.58260215871996</v>
      </c>
      <c r="DC155">
        <f>$AW78-SUM($BE78:DC78)</f>
        <v>506.58260215871996</v>
      </c>
      <c r="DD155">
        <f>$AW78-SUM($BE78:DD78)</f>
        <v>506.58260215871996</v>
      </c>
      <c r="DE155">
        <f>$AW78-SUM($BE78:DE78)</f>
        <v>506.58260215871996</v>
      </c>
      <c r="DF155">
        <f>$AW78-SUM($BE78:DF78)</f>
        <v>506.58260215871996</v>
      </c>
      <c r="DG155">
        <f>$AW78-SUM($BE78:DG78)</f>
        <v>506.58260215871996</v>
      </c>
      <c r="DH155">
        <f>$AW78-SUM($BE78:DH78)</f>
        <v>506.58260215871996</v>
      </c>
      <c r="DI155">
        <f>$AW78-SUM($BE78:DI78)</f>
        <v>506.58260215871996</v>
      </c>
      <c r="DJ155">
        <f>$AW78-SUM($BE78:DJ78)</f>
        <v>506.58260215871996</v>
      </c>
      <c r="DK155">
        <f>$AW78-SUM($BE78:DK78)</f>
        <v>506.58260215871996</v>
      </c>
      <c r="DL155">
        <f>$AW78-SUM($BE78:DL78)</f>
        <v>506.58260215871996</v>
      </c>
      <c r="DM155">
        <f>$AW78-SUM($BE78:DM78)</f>
        <v>506.58260215871996</v>
      </c>
      <c r="DN155">
        <f>$AW78-SUM($BE78:DN78)</f>
        <v>506.58260215871996</v>
      </c>
      <c r="DO155">
        <f>$AW78-SUM($BE78:DO78)</f>
        <v>506.58260215871996</v>
      </c>
      <c r="DP155">
        <f>$AW78-SUM($BE78:DP78)</f>
        <v>506.58260215871996</v>
      </c>
      <c r="DQ155">
        <f>$AW78-SUM($BE78:DQ78)</f>
        <v>506.58260215871996</v>
      </c>
      <c r="DR155">
        <f>$AW78-SUM($BE78:DR78)</f>
        <v>506.58260215871996</v>
      </c>
      <c r="DS155">
        <f>$AW78-SUM($BE78:DS78)</f>
        <v>506.58260215871996</v>
      </c>
      <c r="DT155">
        <f>$AW78-SUM($BE78:DT78)</f>
        <v>506.58260215871996</v>
      </c>
      <c r="DU155">
        <f>$AW78-SUM($BE78:DU78)</f>
        <v>500.42115178383159</v>
      </c>
      <c r="DV155">
        <f>$AW78-SUM($BE78:DV78)</f>
        <v>474.44540452767649</v>
      </c>
      <c r="DW155" s="4">
        <f>$AW78-SUM($BE78:DW78)</f>
        <v>438.09732924269798</v>
      </c>
    </row>
    <row r="156" spans="4:127" x14ac:dyDescent="0.25">
      <c r="D156"/>
      <c r="BD156">
        <v>2059</v>
      </c>
      <c r="BE156">
        <f>$AW79-SUM($BE79:BE79)</f>
        <v>508.51322971008</v>
      </c>
      <c r="BF156">
        <f>$AW79-SUM($BE79:BF79)</f>
        <v>508.51322971008</v>
      </c>
      <c r="BG156">
        <f>$AW79-SUM($BE79:BG79)</f>
        <v>508.51322971008</v>
      </c>
      <c r="BH156">
        <f>$AW79-SUM($BE79:BH79)</f>
        <v>508.51322971008</v>
      </c>
      <c r="BI156">
        <f>$AW79-SUM($BE79:BI79)</f>
        <v>508.51322971008</v>
      </c>
      <c r="BJ156">
        <f>$AW79-SUM($BE79:BJ79)</f>
        <v>508.51322971008</v>
      </c>
      <c r="BK156">
        <f>$AW79-SUM($BE79:BK79)</f>
        <v>508.51322971008</v>
      </c>
      <c r="BL156">
        <f>$AW79-SUM($BE79:BL79)</f>
        <v>508.51322971008</v>
      </c>
      <c r="BM156">
        <f>$AW79-SUM($BE79:BM79)</f>
        <v>508.51322971008</v>
      </c>
      <c r="BN156">
        <f>$AW79-SUM($BE79:BN79)</f>
        <v>508.51322971008</v>
      </c>
      <c r="BO156">
        <f>$AW79-SUM($BE79:BO79)</f>
        <v>508.51322971008</v>
      </c>
      <c r="BP156">
        <f>$AW79-SUM($BE79:BP79)</f>
        <v>508.51322971008</v>
      </c>
      <c r="BQ156">
        <f>$AW79-SUM($BE79:BQ79)</f>
        <v>508.51322971008</v>
      </c>
      <c r="BR156">
        <f>$AW79-SUM($BE79:BR79)</f>
        <v>508.51322971008</v>
      </c>
      <c r="BS156">
        <f>$AW79-SUM($BE79:BS79)</f>
        <v>508.51322971008</v>
      </c>
      <c r="BT156">
        <f>$AW79-SUM($BE79:BT79)</f>
        <v>508.51322971008</v>
      </c>
      <c r="BU156">
        <f>$AW79-SUM($BE79:BU79)</f>
        <v>508.51322971008</v>
      </c>
      <c r="BV156">
        <f>$AW79-SUM($BE79:BV79)</f>
        <v>508.51322971008</v>
      </c>
      <c r="BW156">
        <f>$AW79-SUM($BE79:BW79)</f>
        <v>508.51322971008</v>
      </c>
      <c r="BX156">
        <f>$AW79-SUM($BE79:BX79)</f>
        <v>508.51322971008</v>
      </c>
      <c r="BY156">
        <f>$AW79-SUM($BE79:BY79)</f>
        <v>508.51322971008</v>
      </c>
      <c r="BZ156">
        <f>$AW79-SUM($BE79:BZ79)</f>
        <v>508.51322971008</v>
      </c>
      <c r="CA156">
        <f>$AW79-SUM($BE79:CA79)</f>
        <v>508.51322971008</v>
      </c>
      <c r="CB156">
        <f>$AW79-SUM($BE79:CB79)</f>
        <v>508.51322971008</v>
      </c>
      <c r="CC156">
        <f>$AW79-SUM($BE79:CC79)</f>
        <v>508.51322971008</v>
      </c>
      <c r="CD156">
        <f>$AW79-SUM($BE79:CD79)</f>
        <v>508.51322971008</v>
      </c>
      <c r="CE156">
        <f>$AW79-SUM($BE79:CE79)</f>
        <v>508.51322971008</v>
      </c>
      <c r="CF156">
        <f>$AW79-SUM($BE79:CF79)</f>
        <v>508.51322971008</v>
      </c>
      <c r="CG156">
        <f>$AW79-SUM($BE79:CG79)</f>
        <v>508.51322971008</v>
      </c>
      <c r="CH156">
        <f>$AW79-SUM($BE79:CH79)</f>
        <v>508.51322971008</v>
      </c>
      <c r="CI156">
        <f>$AW79-SUM($BE79:CI79)</f>
        <v>508.51322971008</v>
      </c>
      <c r="CJ156">
        <f>$AW79-SUM($BE79:CJ79)</f>
        <v>508.51322971008</v>
      </c>
      <c r="CK156">
        <f>$AW79-SUM($BE79:CK79)</f>
        <v>508.51322971008</v>
      </c>
      <c r="CL156">
        <f>$AW79-SUM($BE79:CL79)</f>
        <v>508.51322971008</v>
      </c>
      <c r="CM156">
        <f>$AW79-SUM($BE79:CM79)</f>
        <v>508.51322971008</v>
      </c>
      <c r="CN156">
        <f>$AW79-SUM($BE79:CN79)</f>
        <v>508.51322971008</v>
      </c>
      <c r="CO156">
        <f>$AW79-SUM($BE79:CO79)</f>
        <v>508.51322971008</v>
      </c>
      <c r="CP156">
        <f>$AW79-SUM($BE79:CP79)</f>
        <v>508.51322971008</v>
      </c>
      <c r="CQ156">
        <f>$AW79-SUM($BE79:CQ79)</f>
        <v>508.51322971008</v>
      </c>
      <c r="CR156">
        <f>$AW79-SUM($BE79:CR79)</f>
        <v>508.51322971008</v>
      </c>
      <c r="CS156">
        <f>$AW79-SUM($BE79:CS79)</f>
        <v>508.51322971008</v>
      </c>
      <c r="CT156">
        <f>$AW79-SUM($BE79:CT79)</f>
        <v>508.51322971008</v>
      </c>
      <c r="CU156">
        <f>$AW79-SUM($BE79:CU79)</f>
        <v>508.51322971008</v>
      </c>
      <c r="CV156">
        <f>$AW79-SUM($BE79:CV79)</f>
        <v>508.51322971008</v>
      </c>
      <c r="CW156">
        <f>$AW79-SUM($BE79:CW79)</f>
        <v>508.51322971008</v>
      </c>
      <c r="CX156">
        <f>$AW79-SUM($BE79:CX79)</f>
        <v>508.51322971008</v>
      </c>
      <c r="CY156">
        <f>$AW79-SUM($BE79:CY79)</f>
        <v>508.51322971008</v>
      </c>
      <c r="CZ156">
        <f>$AW79-SUM($BE79:CZ79)</f>
        <v>508.51322971008</v>
      </c>
      <c r="DA156">
        <f>$AW79-SUM($BE79:DA79)</f>
        <v>508.51322971008</v>
      </c>
      <c r="DB156">
        <f>$AW79-SUM($BE79:DB79)</f>
        <v>508.51322971008</v>
      </c>
      <c r="DC156">
        <f>$AW79-SUM($BE79:DC79)</f>
        <v>508.51322971008</v>
      </c>
      <c r="DD156">
        <f>$AW79-SUM($BE79:DD79)</f>
        <v>508.51322971008</v>
      </c>
      <c r="DE156">
        <f>$AW79-SUM($BE79:DE79)</f>
        <v>508.51322971008</v>
      </c>
      <c r="DF156">
        <f>$AW79-SUM($BE79:DF79)</f>
        <v>508.51322971008</v>
      </c>
      <c r="DG156">
        <f>$AW79-SUM($BE79:DG79)</f>
        <v>508.51322971008</v>
      </c>
      <c r="DH156">
        <f>$AW79-SUM($BE79:DH79)</f>
        <v>508.51322971008</v>
      </c>
      <c r="DI156">
        <f>$AW79-SUM($BE79:DI79)</f>
        <v>508.51322971008</v>
      </c>
      <c r="DJ156">
        <f>$AW79-SUM($BE79:DJ79)</f>
        <v>508.51322971008</v>
      </c>
      <c r="DK156">
        <f>$AW79-SUM($BE79:DK79)</f>
        <v>508.51322971008</v>
      </c>
      <c r="DL156">
        <f>$AW79-SUM($BE79:DL79)</f>
        <v>508.51322971008</v>
      </c>
      <c r="DM156">
        <f>$AW79-SUM($BE79:DM79)</f>
        <v>508.51322971008</v>
      </c>
      <c r="DN156">
        <f>$AW79-SUM($BE79:DN79)</f>
        <v>508.51322971008</v>
      </c>
      <c r="DO156">
        <f>$AW79-SUM($BE79:DO79)</f>
        <v>508.51322971008</v>
      </c>
      <c r="DP156">
        <f>$AW79-SUM($BE79:DP79)</f>
        <v>508.51322971008</v>
      </c>
      <c r="DQ156">
        <f>$AW79-SUM($BE79:DQ79)</f>
        <v>508.51322971008</v>
      </c>
      <c r="DR156">
        <f>$AW79-SUM($BE79:DR79)</f>
        <v>508.51322971008</v>
      </c>
      <c r="DS156">
        <f>$AW79-SUM($BE79:DS79)</f>
        <v>508.51322971008</v>
      </c>
      <c r="DT156">
        <f>$AW79-SUM($BE79:DT79)</f>
        <v>508.51322971008</v>
      </c>
      <c r="DU156">
        <f>$AW79-SUM($BE79:DU79)</f>
        <v>508.51322971008</v>
      </c>
      <c r="DV156">
        <f>$AW79-SUM($BE79:DV79)</f>
        <v>502.3282975460433</v>
      </c>
      <c r="DW156" s="4">
        <f>$AW79-SUM($BE79:DW79)</f>
        <v>476.25355460170988</v>
      </c>
    </row>
    <row r="157" spans="4:127" x14ac:dyDescent="0.25">
      <c r="D157"/>
      <c r="BD157">
        <v>2060</v>
      </c>
      <c r="BE157">
        <f>$AW80-SUM($BE80:BE80)</f>
        <v>510.46634017728007</v>
      </c>
      <c r="BF157">
        <f>$AW80-SUM($BE80:BF80)</f>
        <v>510.46634017728007</v>
      </c>
      <c r="BG157">
        <f>$AW80-SUM($BE80:BG80)</f>
        <v>510.46634017728007</v>
      </c>
      <c r="BH157">
        <f>$AW80-SUM($BE80:BH80)</f>
        <v>510.46634017728007</v>
      </c>
      <c r="BI157">
        <f>$AW80-SUM($BE80:BI80)</f>
        <v>510.46634017728007</v>
      </c>
      <c r="BJ157">
        <f>$AW80-SUM($BE80:BJ80)</f>
        <v>510.46634017728007</v>
      </c>
      <c r="BK157">
        <f>$AW80-SUM($BE80:BK80)</f>
        <v>510.46634017728007</v>
      </c>
      <c r="BL157">
        <f>$AW80-SUM($BE80:BL80)</f>
        <v>510.46634017728007</v>
      </c>
      <c r="BM157">
        <f>$AW80-SUM($BE80:BM80)</f>
        <v>510.46634017728007</v>
      </c>
      <c r="BN157">
        <f>$AW80-SUM($BE80:BN80)</f>
        <v>510.46634017728007</v>
      </c>
      <c r="BO157">
        <f>$AW80-SUM($BE80:BO80)</f>
        <v>510.46634017728007</v>
      </c>
      <c r="BP157">
        <f>$AW80-SUM($BE80:BP80)</f>
        <v>510.46634017728007</v>
      </c>
      <c r="BQ157">
        <f>$AW80-SUM($BE80:BQ80)</f>
        <v>510.46634017728007</v>
      </c>
      <c r="BR157">
        <f>$AW80-SUM($BE80:BR80)</f>
        <v>510.46634017728007</v>
      </c>
      <c r="BS157">
        <f>$AW80-SUM($BE80:BS80)</f>
        <v>510.46634017728007</v>
      </c>
      <c r="BT157">
        <f>$AW80-SUM($BE80:BT80)</f>
        <v>510.46634017728007</v>
      </c>
      <c r="BU157">
        <f>$AW80-SUM($BE80:BU80)</f>
        <v>510.46634017728007</v>
      </c>
      <c r="BV157">
        <f>$AW80-SUM($BE80:BV80)</f>
        <v>510.46634017728007</v>
      </c>
      <c r="BW157">
        <f>$AW80-SUM($BE80:BW80)</f>
        <v>510.46634017728007</v>
      </c>
      <c r="BX157">
        <f>$AW80-SUM($BE80:BX80)</f>
        <v>510.46634017728007</v>
      </c>
      <c r="BY157">
        <f>$AW80-SUM($BE80:BY80)</f>
        <v>510.46634017728007</v>
      </c>
      <c r="BZ157">
        <f>$AW80-SUM($BE80:BZ80)</f>
        <v>510.46634017728007</v>
      </c>
      <c r="CA157">
        <f>$AW80-SUM($BE80:CA80)</f>
        <v>510.46634017728007</v>
      </c>
      <c r="CB157">
        <f>$AW80-SUM($BE80:CB80)</f>
        <v>510.46634017728007</v>
      </c>
      <c r="CC157">
        <f>$AW80-SUM($BE80:CC80)</f>
        <v>510.46634017728007</v>
      </c>
      <c r="CD157">
        <f>$AW80-SUM($BE80:CD80)</f>
        <v>510.46634017728007</v>
      </c>
      <c r="CE157">
        <f>$AW80-SUM($BE80:CE80)</f>
        <v>510.46634017728007</v>
      </c>
      <c r="CF157">
        <f>$AW80-SUM($BE80:CF80)</f>
        <v>510.46634017728007</v>
      </c>
      <c r="CG157">
        <f>$AW80-SUM($BE80:CG80)</f>
        <v>510.46634017728007</v>
      </c>
      <c r="CH157">
        <f>$AW80-SUM($BE80:CH80)</f>
        <v>510.46634017728007</v>
      </c>
      <c r="CI157">
        <f>$AW80-SUM($BE80:CI80)</f>
        <v>510.46634017728007</v>
      </c>
      <c r="CJ157">
        <f>$AW80-SUM($BE80:CJ80)</f>
        <v>510.46634017728007</v>
      </c>
      <c r="CK157">
        <f>$AW80-SUM($BE80:CK80)</f>
        <v>510.46634017728007</v>
      </c>
      <c r="CL157">
        <f>$AW80-SUM($BE80:CL80)</f>
        <v>510.46634017728007</v>
      </c>
      <c r="CM157">
        <f>$AW80-SUM($BE80:CM80)</f>
        <v>510.46634017728007</v>
      </c>
      <c r="CN157">
        <f>$AW80-SUM($BE80:CN80)</f>
        <v>510.46634017728007</v>
      </c>
      <c r="CO157">
        <f>$AW80-SUM($BE80:CO80)</f>
        <v>510.46634017728007</v>
      </c>
      <c r="CP157">
        <f>$AW80-SUM($BE80:CP80)</f>
        <v>510.46634017728007</v>
      </c>
      <c r="CQ157">
        <f>$AW80-SUM($BE80:CQ80)</f>
        <v>510.46634017728007</v>
      </c>
      <c r="CR157">
        <f>$AW80-SUM($BE80:CR80)</f>
        <v>510.46634017728007</v>
      </c>
      <c r="CS157">
        <f>$AW80-SUM($BE80:CS80)</f>
        <v>510.46634017728007</v>
      </c>
      <c r="CT157">
        <f>$AW80-SUM($BE80:CT80)</f>
        <v>510.46634017728007</v>
      </c>
      <c r="CU157">
        <f>$AW80-SUM($BE80:CU80)</f>
        <v>510.46634017728007</v>
      </c>
      <c r="CV157">
        <f>$AW80-SUM($BE80:CV80)</f>
        <v>510.46634017728007</v>
      </c>
      <c r="CW157">
        <f>$AW80-SUM($BE80:CW80)</f>
        <v>510.46634017728007</v>
      </c>
      <c r="CX157">
        <f>$AW80-SUM($BE80:CX80)</f>
        <v>510.46634017728007</v>
      </c>
      <c r="CY157">
        <f>$AW80-SUM($BE80:CY80)</f>
        <v>510.46634017728007</v>
      </c>
      <c r="CZ157">
        <f>$AW80-SUM($BE80:CZ80)</f>
        <v>510.46634017728007</v>
      </c>
      <c r="DA157">
        <f>$AW80-SUM($BE80:DA80)</f>
        <v>510.46634017728007</v>
      </c>
      <c r="DB157">
        <f>$AW80-SUM($BE80:DB80)</f>
        <v>510.46634017728007</v>
      </c>
      <c r="DC157">
        <f>$AW80-SUM($BE80:DC80)</f>
        <v>510.46634017728007</v>
      </c>
      <c r="DD157">
        <f>$AW80-SUM($BE80:DD80)</f>
        <v>510.46634017728007</v>
      </c>
      <c r="DE157">
        <f>$AW80-SUM($BE80:DE80)</f>
        <v>510.46634017728007</v>
      </c>
      <c r="DF157">
        <f>$AW80-SUM($BE80:DF80)</f>
        <v>510.46634017728007</v>
      </c>
      <c r="DG157">
        <f>$AW80-SUM($BE80:DG80)</f>
        <v>510.46634017728007</v>
      </c>
      <c r="DH157">
        <f>$AW80-SUM($BE80:DH80)</f>
        <v>510.46634017728007</v>
      </c>
      <c r="DI157">
        <f>$AW80-SUM($BE80:DI80)</f>
        <v>510.46634017728007</v>
      </c>
      <c r="DJ157">
        <f>$AW80-SUM($BE80:DJ80)</f>
        <v>510.46634017728007</v>
      </c>
      <c r="DK157">
        <f>$AW80-SUM($BE80:DK80)</f>
        <v>510.46634017728007</v>
      </c>
      <c r="DL157">
        <f>$AW80-SUM($BE80:DL80)</f>
        <v>510.46634017728007</v>
      </c>
      <c r="DM157">
        <f>$AW80-SUM($BE80:DM80)</f>
        <v>510.46634017728007</v>
      </c>
      <c r="DN157">
        <f>$AW80-SUM($BE80:DN80)</f>
        <v>510.46634017728007</v>
      </c>
      <c r="DO157">
        <f>$AW80-SUM($BE80:DO80)</f>
        <v>510.46634017728007</v>
      </c>
      <c r="DP157">
        <f>$AW80-SUM($BE80:DP80)</f>
        <v>510.46634017728007</v>
      </c>
      <c r="DQ157">
        <f>$AW80-SUM($BE80:DQ80)</f>
        <v>510.46634017728007</v>
      </c>
      <c r="DR157">
        <f>$AW80-SUM($BE80:DR80)</f>
        <v>510.46634017728007</v>
      </c>
      <c r="DS157">
        <f>$AW80-SUM($BE80:DS80)</f>
        <v>510.46634017728007</v>
      </c>
      <c r="DT157">
        <f>$AW80-SUM($BE80:DT80)</f>
        <v>510.46634017728007</v>
      </c>
      <c r="DU157">
        <f>$AW80-SUM($BE80:DU80)</f>
        <v>510.46634017728007</v>
      </c>
      <c r="DV157">
        <f>$AW80-SUM($BE80:DV80)</f>
        <v>510.46634017728007</v>
      </c>
      <c r="DW157" s="4">
        <f>$AW80-SUM($BE80:DW80)</f>
        <v>504.25765276944099</v>
      </c>
    </row>
    <row r="158" spans="4:127" x14ac:dyDescent="0.25">
      <c r="BE158" s="4"/>
    </row>
  </sheetData>
  <mergeCells count="10">
    <mergeCell ref="A43:A80"/>
    <mergeCell ref="G6:L6"/>
    <mergeCell ref="N6:U6"/>
    <mergeCell ref="AZ8:BB8"/>
    <mergeCell ref="AA6:AC6"/>
    <mergeCell ref="AO7:AP7"/>
    <mergeCell ref="AQ7:AR7"/>
    <mergeCell ref="AN6:AR6"/>
    <mergeCell ref="A10:A42"/>
    <mergeCell ref="AJ7:AL7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Mingming Chen</dc:creator>
  <cp:lastModifiedBy>Mingming Chen</cp:lastModifiedBy>
  <dcterms:created xsi:type="dcterms:W3CDTF">2015-06-05T18:17:20Z</dcterms:created>
  <dcterms:modified xsi:type="dcterms:W3CDTF">2026-09-23T16:17:37Z</dcterms:modified>
</cp:coreProperties>
</file>